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13_ncr:1_{FC49D8EB-F9B4-4B03-89FA-CAF7150E05DB}" xr6:coauthVersionLast="47" xr6:coauthVersionMax="47" xr10:uidLastSave="{00000000-0000-0000-0000-000000000000}"/>
  <bookViews>
    <workbookView xWindow="-120" yWindow="-120" windowWidth="20730" windowHeight="11760" tabRatio="884" firstSheet="1" activeTab="7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4" l="1"/>
  <c r="M11" i="45"/>
  <c r="J40" i="31"/>
  <c r="I40" i="3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M53" i="45" l="1"/>
  <c r="N53" i="45"/>
  <c r="O53" i="45"/>
  <c r="P53" i="45"/>
  <c r="L53" i="45"/>
  <c r="M49" i="45"/>
  <c r="N49" i="45"/>
  <c r="O49" i="45"/>
  <c r="P49" i="45"/>
  <c r="L49" i="45"/>
  <c r="M45" i="45"/>
  <c r="N45" i="45"/>
  <c r="O45" i="45"/>
  <c r="P45" i="45"/>
  <c r="L45" i="45"/>
  <c r="M40" i="45"/>
  <c r="N40" i="45"/>
  <c r="O40" i="45"/>
  <c r="P40" i="45"/>
  <c r="L40" i="45"/>
  <c r="M20" i="45"/>
  <c r="N20" i="45"/>
  <c r="O20" i="45"/>
  <c r="P20" i="45"/>
  <c r="L20" i="45"/>
  <c r="M12" i="45"/>
  <c r="N12" i="45"/>
  <c r="O12" i="45"/>
  <c r="P12" i="45"/>
  <c r="L12" i="45"/>
  <c r="E19" i="9"/>
  <c r="D111" i="31" l="1"/>
  <c r="D22" i="31"/>
  <c r="C9" i="45"/>
  <c r="G76" i="45" l="1"/>
  <c r="H76" i="45"/>
  <c r="I76" i="45"/>
  <c r="F55" i="31" s="1"/>
  <c r="J76" i="45"/>
  <c r="G55" i="31" s="1"/>
  <c r="K76" i="45"/>
  <c r="H55" i="31" s="1"/>
  <c r="Q76" i="45"/>
  <c r="N55" i="31" s="1"/>
  <c r="G78" i="45"/>
  <c r="H78" i="45"/>
  <c r="I78" i="45"/>
  <c r="F58" i="31" s="1"/>
  <c r="J78" i="45"/>
  <c r="G58" i="31" s="1"/>
  <c r="K78" i="45"/>
  <c r="H58" i="31" s="1"/>
  <c r="Q78" i="45"/>
  <c r="N58" i="31" s="1"/>
  <c r="F76" i="45"/>
  <c r="F78" i="45"/>
  <c r="R53" i="45"/>
  <c r="R54" i="45" s="1"/>
  <c r="O78" i="45"/>
  <c r="L58" i="31" s="1"/>
  <c r="P78" i="45"/>
  <c r="M58" i="31" s="1"/>
  <c r="L54" i="45"/>
  <c r="R49" i="45"/>
  <c r="R76" i="45" s="1"/>
  <c r="O55" i="31" s="1"/>
  <c r="M76" i="45"/>
  <c r="J55" i="31" s="1"/>
  <c r="N76" i="45"/>
  <c r="K55" i="31" s="1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S49" i="45"/>
  <c r="T49" i="45" s="1"/>
  <c r="U49" i="45" s="1"/>
  <c r="V49" i="45" s="1"/>
  <c r="V76" i="45" s="1"/>
  <c r="S55" i="31" s="1"/>
  <c r="H124" i="31"/>
  <c r="R50" i="45"/>
  <c r="G124" i="31"/>
  <c r="F124" i="31"/>
  <c r="N24" i="40"/>
  <c r="N78" i="45"/>
  <c r="K58" i="31" s="1"/>
  <c r="R78" i="45"/>
  <c r="O58" i="31" s="1"/>
  <c r="P76" i="45"/>
  <c r="M55" i="31" s="1"/>
  <c r="L76" i="45"/>
  <c r="I55" i="31" s="1"/>
  <c r="P54" i="45"/>
  <c r="M78" i="45"/>
  <c r="J58" i="31" s="1"/>
  <c r="S53" i="45"/>
  <c r="S54" i="45" s="1"/>
  <c r="O76" i="45"/>
  <c r="L55" i="31" s="1"/>
  <c r="L78" i="45"/>
  <c r="I58" i="31" s="1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R55" i="31" s="1"/>
  <c r="S50" i="45"/>
  <c r="T76" i="45"/>
  <c r="S76" i="45"/>
  <c r="P55" i="31" s="1"/>
  <c r="N125" i="31"/>
  <c r="J124" i="31"/>
  <c r="I125" i="31"/>
  <c r="N26" i="40"/>
  <c r="N124" i="31"/>
  <c r="M24" i="40"/>
  <c r="S125" i="31"/>
  <c r="K125" i="31"/>
  <c r="O125" i="31"/>
  <c r="I124" i="31"/>
  <c r="S78" i="45"/>
  <c r="P58" i="31" s="1"/>
  <c r="T53" i="45"/>
  <c r="Q55" i="31" l="1"/>
  <c r="Q125" i="31" s="1"/>
  <c r="R125" i="31"/>
  <c r="P125" i="31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Q58" i="31" s="1"/>
  <c r="U53" i="45"/>
  <c r="Q24" i="40" l="1"/>
  <c r="P24" i="40"/>
  <c r="R24" i="40"/>
  <c r="M124" i="31"/>
  <c r="M26" i="40"/>
  <c r="U78" i="45"/>
  <c r="R58" i="31" s="1"/>
  <c r="V53" i="45"/>
  <c r="U54" i="45"/>
  <c r="P124" i="31" l="1"/>
  <c r="P26" i="40"/>
  <c r="V54" i="45"/>
  <c r="V78" i="45"/>
  <c r="S58" i="31" s="1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Q40" i="45" l="1"/>
  <c r="R40" i="45" s="1"/>
  <c r="S40" i="45" s="1"/>
  <c r="T40" i="45" s="1"/>
  <c r="U40" i="45" s="1"/>
  <c r="V40" i="45" s="1"/>
  <c r="K72" i="45"/>
  <c r="H48" i="31" s="1"/>
  <c r="J72" i="45"/>
  <c r="G48" i="31" s="1"/>
  <c r="I72" i="45"/>
  <c r="F48" i="31" s="1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H27" i="31" s="1"/>
  <c r="J62" i="45"/>
  <c r="G27" i="31" s="1"/>
  <c r="I62" i="45"/>
  <c r="F27" i="31" s="1"/>
  <c r="H62" i="45"/>
  <c r="G62" i="45"/>
  <c r="F62" i="45"/>
  <c r="F63" i="45" s="1"/>
  <c r="K60" i="45"/>
  <c r="H24" i="31" s="1"/>
  <c r="J60" i="45"/>
  <c r="G24" i="31" s="1"/>
  <c r="I60" i="45"/>
  <c r="F24" i="31" s="1"/>
  <c r="H60" i="45"/>
  <c r="G60" i="45"/>
  <c r="F60" i="45"/>
  <c r="F58" i="45"/>
  <c r="M46" i="45"/>
  <c r="K45" i="45"/>
  <c r="K74" i="45" s="1"/>
  <c r="J45" i="45"/>
  <c r="J47" i="45" s="1"/>
  <c r="I45" i="45"/>
  <c r="I74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N29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B8" i="44"/>
  <c r="F6" i="44"/>
  <c r="E6" i="44"/>
  <c r="D6" i="44"/>
  <c r="C6" i="44"/>
  <c r="O29" i="45" l="1"/>
  <c r="K40" i="31"/>
  <c r="I75" i="45"/>
  <c r="F52" i="31"/>
  <c r="K75" i="45"/>
  <c r="H52" i="31"/>
  <c r="K65" i="45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J48" i="31" s="1"/>
  <c r="L13" i="45"/>
  <c r="L11" i="45" s="1"/>
  <c r="N72" i="45"/>
  <c r="K48" i="31" s="1"/>
  <c r="N41" i="45"/>
  <c r="L41" i="45"/>
  <c r="L72" i="45"/>
  <c r="I48" i="31" s="1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G31" i="31" s="1"/>
  <c r="J64" i="45"/>
  <c r="K63" i="45"/>
  <c r="F46" i="45"/>
  <c r="F47" i="45"/>
  <c r="G46" i="45"/>
  <c r="N46" i="45"/>
  <c r="N74" i="45"/>
  <c r="K52" i="31" s="1"/>
  <c r="G58" i="45"/>
  <c r="I22" i="45"/>
  <c r="G64" i="45"/>
  <c r="G63" i="45"/>
  <c r="I70" i="45"/>
  <c r="I69" i="45"/>
  <c r="K64" i="45"/>
  <c r="G65" i="45"/>
  <c r="K73" i="45"/>
  <c r="J74" i="45"/>
  <c r="G21" i="45"/>
  <c r="R47" i="45"/>
  <c r="I65" i="45"/>
  <c r="F31" i="31" s="1"/>
  <c r="F65" i="45"/>
  <c r="F69" i="45"/>
  <c r="K47" i="45"/>
  <c r="K46" i="45"/>
  <c r="J61" i="45"/>
  <c r="F73" i="45"/>
  <c r="G47" i="45"/>
  <c r="L74" i="45"/>
  <c r="I52" i="31" s="1"/>
  <c r="M74" i="45"/>
  <c r="J52" i="31" s="1"/>
  <c r="D13" i="44"/>
  <c r="N31" i="45" s="1"/>
  <c r="E13" i="44"/>
  <c r="O31" i="45" s="1"/>
  <c r="F13" i="44"/>
  <c r="C13" i="44"/>
  <c r="M31" i="45" s="1"/>
  <c r="B11" i="44"/>
  <c r="N32" i="45" l="1"/>
  <c r="M32" i="45"/>
  <c r="J75" i="45"/>
  <c r="G52" i="31"/>
  <c r="K67" i="45"/>
  <c r="H31" i="31"/>
  <c r="O32" i="45"/>
  <c r="L33" i="45"/>
  <c r="L32" i="45"/>
  <c r="P29" i="45"/>
  <c r="L40" i="31"/>
  <c r="K66" i="45"/>
  <c r="M33" i="45"/>
  <c r="L55" i="45"/>
  <c r="L51" i="45"/>
  <c r="B16" i="44"/>
  <c r="B20" i="44" s="1"/>
  <c r="L16" i="45" s="1"/>
  <c r="E16" i="44"/>
  <c r="E20" i="44" s="1"/>
  <c r="O16" i="45" s="1"/>
  <c r="C16" i="44"/>
  <c r="C20" i="44" s="1"/>
  <c r="M16" i="45" s="1"/>
  <c r="F16" i="44"/>
  <c r="F20" i="44" s="1"/>
  <c r="P16" i="45" s="1"/>
  <c r="D16" i="44"/>
  <c r="D20" i="44" s="1"/>
  <c r="N16" i="45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I24" i="31" s="1"/>
  <c r="L47" i="45"/>
  <c r="Q29" i="45" l="1"/>
  <c r="M40" i="31"/>
  <c r="P31" i="45"/>
  <c r="N11" i="45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J24" i="31" s="1"/>
  <c r="L61" i="45"/>
  <c r="K9" i="45"/>
  <c r="J58" i="45"/>
  <c r="G22" i="31" s="1"/>
  <c r="T47" i="45"/>
  <c r="P32" i="45" l="1"/>
  <c r="R29" i="45"/>
  <c r="N40" i="31"/>
  <c r="O11" i="45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I27" i="31" s="1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L22" i="45"/>
  <c r="M62" i="45"/>
  <c r="J27" i="31" s="1"/>
  <c r="M71" i="45"/>
  <c r="M17" i="45"/>
  <c r="N60" i="45"/>
  <c r="K24" i="31" s="1"/>
  <c r="S29" i="45" l="1"/>
  <c r="O40" i="31"/>
  <c r="P11" i="45"/>
  <c r="O15" i="45"/>
  <c r="D19" i="12"/>
  <c r="N77" i="45"/>
  <c r="N79" i="45"/>
  <c r="N25" i="45"/>
  <c r="M68" i="45"/>
  <c r="M70" i="45" s="1"/>
  <c r="M26" i="45"/>
  <c r="M27" i="45"/>
  <c r="L68" i="45"/>
  <c r="L65" i="45" s="1"/>
  <c r="I31" i="31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K27" i="31" s="1"/>
  <c r="N17" i="45"/>
  <c r="N71" i="45"/>
  <c r="M23" i="45"/>
  <c r="M22" i="45"/>
  <c r="M21" i="45"/>
  <c r="M63" i="45"/>
  <c r="M64" i="45"/>
  <c r="M9" i="45"/>
  <c r="L58" i="45"/>
  <c r="I22" i="31" s="1"/>
  <c r="V47" i="45"/>
  <c r="P60" i="45" l="1"/>
  <c r="M24" i="31" s="1"/>
  <c r="P33" i="45"/>
  <c r="T29" i="45"/>
  <c r="P40" i="31"/>
  <c r="L67" i="45"/>
  <c r="I46" i="31"/>
  <c r="Q11" i="45"/>
  <c r="Q60" i="45" s="1"/>
  <c r="N24" i="31" s="1"/>
  <c r="P15" i="45"/>
  <c r="M65" i="45"/>
  <c r="J31" i="31" s="1"/>
  <c r="L66" i="45"/>
  <c r="M69" i="45"/>
  <c r="L69" i="45"/>
  <c r="L70" i="45"/>
  <c r="N26" i="45"/>
  <c r="N68" i="45"/>
  <c r="N65" i="45" s="1"/>
  <c r="K31" i="31" s="1"/>
  <c r="N27" i="45"/>
  <c r="C36" i="44"/>
  <c r="D34" i="44"/>
  <c r="D35" i="44" s="1"/>
  <c r="N22" i="45"/>
  <c r="M58" i="45"/>
  <c r="J22" i="31" s="1"/>
  <c r="N9" i="45"/>
  <c r="N23" i="45"/>
  <c r="N21" i="45"/>
  <c r="N64" i="45"/>
  <c r="N63" i="45"/>
  <c r="U29" i="45" l="1"/>
  <c r="Q40" i="31"/>
  <c r="M66" i="45"/>
  <c r="M67" i="45"/>
  <c r="N67" i="45"/>
  <c r="N66" i="45"/>
  <c r="N69" i="45"/>
  <c r="N70" i="45"/>
  <c r="E34" i="44"/>
  <c r="E35" i="44" s="1"/>
  <c r="D36" i="44"/>
  <c r="N58" i="45"/>
  <c r="K22" i="31" s="1"/>
  <c r="O9" i="45"/>
  <c r="V29" i="45" l="1"/>
  <c r="S40" i="31" s="1"/>
  <c r="R40" i="31"/>
  <c r="F34" i="44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59" i="31" l="1"/>
  <c r="H56" i="31"/>
  <c r="H35" i="31"/>
  <c r="H28" i="31"/>
  <c r="H112" i="31"/>
  <c r="H113" i="31" s="1"/>
  <c r="H53" i="31"/>
  <c r="H49" i="31"/>
  <c r="H122" i="31"/>
  <c r="G123" i="31"/>
  <c r="H111" i="31"/>
  <c r="I8" i="40"/>
  <c r="H32" i="31" l="1"/>
  <c r="H50" i="31"/>
  <c r="H121" i="31"/>
  <c r="H33" i="31"/>
  <c r="H114" i="31"/>
  <c r="H115" i="31" s="1"/>
  <c r="H123" i="31"/>
  <c r="I111" i="31"/>
  <c r="H116" i="31"/>
  <c r="H117" i="31" s="1"/>
  <c r="H36" i="3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H29" i="31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33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G29" i="31"/>
  <c r="F122" i="31"/>
  <c r="I122" i="31"/>
  <c r="C35" i="40" l="1"/>
  <c r="L96" i="31"/>
  <c r="L95" i="31" s="1"/>
  <c r="F56" i="31"/>
  <c r="F59" i="31"/>
  <c r="G59" i="31"/>
  <c r="G56" i="31"/>
  <c r="F49" i="31"/>
  <c r="F113" i="31"/>
  <c r="F28" i="31"/>
  <c r="G28" i="31"/>
  <c r="G49" i="31"/>
  <c r="E99" i="31"/>
  <c r="K42" i="40" s="1"/>
  <c r="K41" i="40"/>
  <c r="H25" i="31"/>
  <c r="G113" i="31"/>
  <c r="G53" i="31"/>
  <c r="G25" i="31"/>
  <c r="G121" i="31"/>
  <c r="J123" i="31"/>
  <c r="F119" i="31"/>
  <c r="G119" i="31"/>
  <c r="F123" i="31"/>
  <c r="F53" i="31"/>
  <c r="F114" i="31"/>
  <c r="F115" i="31" s="1"/>
  <c r="F35" i="31"/>
  <c r="F116" i="31" s="1"/>
  <c r="F117" i="31" s="1"/>
  <c r="F50" i="31"/>
  <c r="I123" i="31"/>
  <c r="F103" i="31"/>
  <c r="L37" i="40" s="1"/>
  <c r="M37" i="40"/>
  <c r="F121" i="31"/>
  <c r="F32" i="31"/>
  <c r="L29" i="40"/>
  <c r="K123" i="31" l="1"/>
  <c r="K23" i="40"/>
  <c r="G35" i="31"/>
  <c r="G116" i="31" s="1"/>
  <c r="G117" i="31" s="1"/>
  <c r="G32" i="31"/>
  <c r="G114" i="31"/>
  <c r="G115" i="31" s="1"/>
  <c r="G50" i="31"/>
  <c r="G33" i="31"/>
  <c r="J21" i="40"/>
  <c r="J122" i="31"/>
  <c r="K122" i="31"/>
  <c r="K21" i="40"/>
  <c r="J23" i="40"/>
  <c r="H119" i="31"/>
  <c r="F36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36" i="31" l="1"/>
  <c r="G118" i="31"/>
  <c r="G37" i="31"/>
  <c r="H37" i="31"/>
  <c r="H118" i="31"/>
  <c r="O119" i="31"/>
  <c r="O20" i="40"/>
  <c r="H17" i="31"/>
  <c r="H18" i="31" s="1"/>
  <c r="D24" i="12"/>
  <c r="G17" i="31"/>
  <c r="G18" i="31" s="1"/>
  <c r="N29" i="40"/>
  <c r="I56" i="31" l="1"/>
  <c r="I59" i="31"/>
  <c r="I53" i="31"/>
  <c r="H120" i="31"/>
  <c r="H127" i="31" s="1"/>
  <c r="I25" i="31"/>
  <c r="I9" i="40"/>
  <c r="I49" i="31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J56" i="31"/>
  <c r="J59" i="31"/>
  <c r="J25" i="31"/>
  <c r="I15" i="40"/>
  <c r="J49" i="31"/>
  <c r="I29" i="31"/>
  <c r="I112" i="31"/>
  <c r="I113" i="31" s="1"/>
  <c r="J9" i="40"/>
  <c r="J53" i="31"/>
  <c r="I17" i="40"/>
  <c r="I18" i="40" s="1"/>
  <c r="I28" i="31"/>
  <c r="I121" i="31"/>
  <c r="I114" i="31"/>
  <c r="I115" i="31" s="1"/>
  <c r="Q119" i="31"/>
  <c r="Q20" i="40"/>
  <c r="I12" i="40"/>
  <c r="J121" i="31"/>
  <c r="J28" i="31"/>
  <c r="J112" i="31"/>
  <c r="J113" i="31" s="1"/>
  <c r="J29" i="31"/>
  <c r="J17" i="31"/>
  <c r="J18" i="31" s="1"/>
  <c r="K11" i="40"/>
  <c r="K13" i="40" s="1"/>
  <c r="I50" i="31"/>
  <c r="I33" i="31"/>
  <c r="I35" i="31"/>
  <c r="I32" i="31"/>
  <c r="J13" i="40"/>
  <c r="J66" i="31"/>
  <c r="I67" i="31"/>
  <c r="P29" i="40"/>
  <c r="I116" i="31" l="1"/>
  <c r="I117" i="31" s="1"/>
  <c r="I39" i="31"/>
  <c r="I42" i="31" s="1"/>
  <c r="J22" i="40"/>
  <c r="J27" i="40"/>
  <c r="J25" i="40"/>
  <c r="K59" i="31"/>
  <c r="K56" i="31"/>
  <c r="K53" i="31"/>
  <c r="S119" i="31"/>
  <c r="S20" i="40"/>
  <c r="J10" i="40"/>
  <c r="J12" i="40"/>
  <c r="K29" i="31"/>
  <c r="J14" i="40"/>
  <c r="K49" i="31"/>
  <c r="K25" i="31"/>
  <c r="K112" i="31"/>
  <c r="K113" i="31" s="1"/>
  <c r="K9" i="40"/>
  <c r="R119" i="31"/>
  <c r="R20" i="40"/>
  <c r="I36" i="31"/>
  <c r="I37" i="31"/>
  <c r="K17" i="31"/>
  <c r="K18" i="31" s="1"/>
  <c r="J33" i="31"/>
  <c r="J35" i="31"/>
  <c r="J50" i="31"/>
  <c r="J46" i="31"/>
  <c r="J114" i="31" s="1"/>
  <c r="J115" i="31" s="1"/>
  <c r="J32" i="31"/>
  <c r="K28" i="31"/>
  <c r="K14" i="40"/>
  <c r="K16" i="40" s="1"/>
  <c r="J67" i="31"/>
  <c r="K66" i="31"/>
  <c r="Q29" i="40"/>
  <c r="J15" i="40" l="1"/>
  <c r="J16" i="40"/>
  <c r="I44" i="31"/>
  <c r="I61" i="31"/>
  <c r="I43" i="31"/>
  <c r="K10" i="40"/>
  <c r="K27" i="40"/>
  <c r="K25" i="40"/>
  <c r="J17" i="40"/>
  <c r="K35" i="31"/>
  <c r="K116" i="31" s="1"/>
  <c r="K117" i="31" s="1"/>
  <c r="K121" i="31"/>
  <c r="K22" i="40"/>
  <c r="K12" i="40"/>
  <c r="J30" i="40"/>
  <c r="J37" i="31"/>
  <c r="J116" i="31"/>
  <c r="J117" i="31" s="1"/>
  <c r="I118" i="31"/>
  <c r="L17" i="31"/>
  <c r="L18" i="31" s="1"/>
  <c r="J39" i="31"/>
  <c r="J118" i="31" s="1"/>
  <c r="J36" i="31"/>
  <c r="K17" i="40"/>
  <c r="K15" i="40"/>
  <c r="K33" i="31"/>
  <c r="K50" i="31"/>
  <c r="K32" i="31"/>
  <c r="K46" i="31"/>
  <c r="K114" i="31" s="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39" i="31"/>
  <c r="K42" i="31" s="1"/>
  <c r="K61" i="31" s="1"/>
  <c r="K36" i="31"/>
  <c r="K37" i="31"/>
  <c r="J19" i="40"/>
  <c r="J28" i="40" s="1"/>
  <c r="K18" i="40"/>
  <c r="M17" i="31"/>
  <c r="M18" i="31" s="1"/>
  <c r="J42" i="31"/>
  <c r="J61" i="31" s="1"/>
  <c r="M66" i="31"/>
  <c r="L67" i="31"/>
  <c r="L30" i="40" s="1"/>
  <c r="S29" i="40"/>
  <c r="J31" i="40" l="1"/>
  <c r="K120" i="31"/>
  <c r="K127" i="31" s="1"/>
  <c r="K118" i="31"/>
  <c r="K31" i="40"/>
  <c r="K43" i="31"/>
  <c r="K63" i="31"/>
  <c r="K64" i="31" s="1"/>
  <c r="J44" i="31"/>
  <c r="J120" i="31"/>
  <c r="J127" i="31" s="1"/>
  <c r="K44" i="31"/>
  <c r="N17" i="31"/>
  <c r="N18" i="31" s="1"/>
  <c r="J43" i="3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s="1"/>
  <c r="S30" i="40" s="1"/>
  <c r="R67" i="31" l="1"/>
  <c r="R30" i="40" s="1"/>
  <c r="O55" i="45" l="1"/>
  <c r="O51" i="45"/>
  <c r="O47" i="45"/>
  <c r="O42" i="45"/>
  <c r="O60" i="45"/>
  <c r="L24" i="31" s="1"/>
  <c r="O61" i="45" l="1"/>
  <c r="O77" i="45"/>
  <c r="O79" i="45"/>
  <c r="P55" i="45"/>
  <c r="P51" i="45"/>
  <c r="P47" i="45"/>
  <c r="P42" i="45"/>
  <c r="O46" i="45"/>
  <c r="O74" i="45"/>
  <c r="L52" i="31" s="1"/>
  <c r="O75" i="45" l="1"/>
  <c r="P61" i="45"/>
  <c r="P77" i="45"/>
  <c r="P79" i="45"/>
  <c r="P46" i="45"/>
  <c r="P74" i="45"/>
  <c r="M52" i="31" s="1"/>
  <c r="P75" i="45" l="1"/>
  <c r="O43" i="45"/>
  <c r="O25" i="45"/>
  <c r="P43" i="45"/>
  <c r="P25" i="45"/>
  <c r="O17" i="45"/>
  <c r="P71" i="45"/>
  <c r="O62" i="45"/>
  <c r="L27" i="31" s="1"/>
  <c r="O71" i="45"/>
  <c r="P17" i="45"/>
  <c r="P62" i="45"/>
  <c r="M27" i="31" s="1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M31" i="31" s="1"/>
  <c r="P66" i="45" l="1"/>
  <c r="O69" i="45"/>
  <c r="P70" i="45"/>
  <c r="O65" i="45"/>
  <c r="L31" i="31" s="1"/>
  <c r="P69" i="45"/>
  <c r="O21" i="45"/>
  <c r="P21" i="45"/>
  <c r="O23" i="45"/>
  <c r="P23" i="45"/>
  <c r="O66" i="45" l="1"/>
  <c r="O22" i="45"/>
  <c r="P22" i="45"/>
  <c r="O41" i="45"/>
  <c r="P41" i="45"/>
  <c r="O72" i="45"/>
  <c r="L48" i="31" s="1"/>
  <c r="P72" i="45"/>
  <c r="M48" i="31" s="1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N52" i="31" s="1"/>
  <c r="Q46" i="45"/>
  <c r="Q41" i="45"/>
  <c r="Q72" i="45"/>
  <c r="N48" i="31" s="1"/>
  <c r="R41" i="45"/>
  <c r="S41" i="45"/>
  <c r="T41" i="45"/>
  <c r="U41" i="45"/>
  <c r="V41" i="45"/>
  <c r="R72" i="45"/>
  <c r="O48" i="31" s="1"/>
  <c r="S72" i="45"/>
  <c r="P48" i="31" s="1"/>
  <c r="T72" i="45"/>
  <c r="Q48" i="31" s="1"/>
  <c r="U72" i="45"/>
  <c r="R48" i="31" s="1"/>
  <c r="V72" i="45"/>
  <c r="S48" i="31" s="1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49" i="31" l="1"/>
  <c r="N59" i="31"/>
  <c r="N25" i="31"/>
  <c r="M11" i="40"/>
  <c r="L33" i="31"/>
  <c r="M32" i="31"/>
  <c r="M23" i="40"/>
  <c r="N53" i="31"/>
  <c r="M56" i="31"/>
  <c r="M59" i="31"/>
  <c r="M9" i="40"/>
  <c r="M25" i="40" s="1"/>
  <c r="N9" i="40" l="1"/>
  <c r="N22" i="40" s="1"/>
  <c r="M53" i="31"/>
  <c r="M123" i="31"/>
  <c r="N56" i="31"/>
  <c r="M22" i="40"/>
  <c r="M121" i="31"/>
  <c r="M112" i="31"/>
  <c r="M113" i="31" s="1"/>
  <c r="M27" i="40"/>
  <c r="L28" i="31"/>
  <c r="M14" i="40"/>
  <c r="M17" i="40" s="1"/>
  <c r="N23" i="40"/>
  <c r="M50" i="31"/>
  <c r="N123" i="31"/>
  <c r="N49" i="31"/>
  <c r="M12" i="40"/>
  <c r="M28" i="31"/>
  <c r="M35" i="31"/>
  <c r="L35" i="31"/>
  <c r="L116" i="31" s="1"/>
  <c r="L117" i="31" s="1"/>
  <c r="L46" i="31"/>
  <c r="L114" i="31" s="1"/>
  <c r="L115" i="31" s="1"/>
  <c r="M46" i="31"/>
  <c r="M114" i="31" s="1"/>
  <c r="M115" i="31" s="1"/>
  <c r="M33" i="31"/>
  <c r="M25" i="31"/>
  <c r="L9" i="40"/>
  <c r="L59" i="31"/>
  <c r="L123" i="31"/>
  <c r="L23" i="40"/>
  <c r="L49" i="31"/>
  <c r="L32" i="31"/>
  <c r="L25" i="31"/>
  <c r="L56" i="31"/>
  <c r="L121" i="31"/>
  <c r="L14" i="40"/>
  <c r="M29" i="31"/>
  <c r="L112" i="31"/>
  <c r="L113" i="31" s="1"/>
  <c r="L11" i="40"/>
  <c r="L53" i="31"/>
  <c r="L50" i="31"/>
  <c r="L29" i="31"/>
  <c r="N27" i="40" l="1"/>
  <c r="N10" i="40"/>
  <c r="N25" i="40"/>
  <c r="L37" i="31"/>
  <c r="M37" i="31"/>
  <c r="M16" i="40"/>
  <c r="M15" i="40"/>
  <c r="M116" i="31"/>
  <c r="M117" i="31" s="1"/>
  <c r="M39" i="31"/>
  <c r="M118" i="31" s="1"/>
  <c r="M36" i="31"/>
  <c r="L36" i="31"/>
  <c r="L39" i="31"/>
  <c r="L118" i="31" s="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M42" i="31"/>
  <c r="L42" i="31"/>
  <c r="L18" i="40"/>
  <c r="L19" i="40"/>
  <c r="L28" i="40" l="1"/>
  <c r="L31" i="40" s="1"/>
  <c r="M44" i="31"/>
  <c r="L61" i="31"/>
  <c r="L63" i="31" s="1"/>
  <c r="L64" i="31" s="1"/>
  <c r="M43" i="31"/>
  <c r="M61" i="31"/>
  <c r="M63" i="31" s="1"/>
  <c r="M64" i="31" s="1"/>
  <c r="M120" i="31"/>
  <c r="M127" i="31" s="1"/>
  <c r="L44" i="31"/>
  <c r="L43" i="31"/>
  <c r="L120" i="31"/>
  <c r="L127" i="31" s="1"/>
  <c r="V20" i="45"/>
  <c r="R11" i="45" l="1"/>
  <c r="S11" i="45"/>
  <c r="T11" i="45"/>
  <c r="U11" i="45"/>
  <c r="V11" i="45"/>
  <c r="R13" i="45"/>
  <c r="S13" i="45"/>
  <c r="T13" i="45"/>
  <c r="U13" i="45"/>
  <c r="Q15" i="45"/>
  <c r="R15" i="45"/>
  <c r="S15" i="45"/>
  <c r="T15" i="45"/>
  <c r="U15" i="45"/>
  <c r="V15" i="45"/>
  <c r="Q17" i="45"/>
  <c r="R17" i="45"/>
  <c r="S17" i="45"/>
  <c r="T17" i="45"/>
  <c r="U17" i="45"/>
  <c r="V17" i="45"/>
  <c r="Q18" i="45"/>
  <c r="R18" i="45"/>
  <c r="S18" i="45"/>
  <c r="T18" i="45"/>
  <c r="U18" i="45"/>
  <c r="Q20" i="45"/>
  <c r="R20" i="45"/>
  <c r="S20" i="45"/>
  <c r="T20" i="45"/>
  <c r="U20" i="45"/>
  <c r="Q21" i="45"/>
  <c r="R21" i="45"/>
  <c r="S21" i="45"/>
  <c r="T21" i="45"/>
  <c r="U21" i="45"/>
  <c r="V21" i="45"/>
  <c r="Q22" i="45"/>
  <c r="R22" i="45"/>
  <c r="S22" i="45"/>
  <c r="T22" i="45"/>
  <c r="U22" i="45"/>
  <c r="Q23" i="45"/>
  <c r="R23" i="45"/>
  <c r="S23" i="45"/>
  <c r="T23" i="45"/>
  <c r="U23" i="45"/>
  <c r="V23" i="45"/>
  <c r="Q25" i="45"/>
  <c r="R25" i="45"/>
  <c r="S25" i="45"/>
  <c r="T25" i="45"/>
  <c r="U25" i="45"/>
  <c r="V25" i="45"/>
  <c r="Q26" i="45"/>
  <c r="R26" i="45"/>
  <c r="S26" i="45"/>
  <c r="T26" i="45"/>
  <c r="U26" i="45"/>
  <c r="V26" i="45"/>
  <c r="Q27" i="45"/>
  <c r="R27" i="45"/>
  <c r="S27" i="45"/>
  <c r="T27" i="45"/>
  <c r="U27" i="45"/>
  <c r="V27" i="45"/>
  <c r="R42" i="45"/>
  <c r="S42" i="45"/>
  <c r="T42" i="45"/>
  <c r="U42" i="45"/>
  <c r="V42" i="45"/>
  <c r="Q43" i="45"/>
  <c r="R43" i="45"/>
  <c r="S43" i="45"/>
  <c r="T43" i="45"/>
  <c r="U43" i="45"/>
  <c r="V43" i="45"/>
  <c r="R45" i="45"/>
  <c r="S45" i="45"/>
  <c r="T45" i="45"/>
  <c r="U45" i="45"/>
  <c r="V45" i="45"/>
  <c r="R46" i="45"/>
  <c r="S46" i="45"/>
  <c r="T46" i="45"/>
  <c r="U46" i="45"/>
  <c r="V46" i="45"/>
  <c r="R51" i="45"/>
  <c r="S51" i="45"/>
  <c r="T51" i="45"/>
  <c r="U51" i="45"/>
  <c r="V51" i="45"/>
  <c r="R55" i="45"/>
  <c r="S55" i="45"/>
  <c r="T55" i="45"/>
  <c r="U55" i="45"/>
  <c r="V55" i="45"/>
  <c r="R60" i="45"/>
  <c r="S60" i="45"/>
  <c r="T60" i="45"/>
  <c r="U60" i="45"/>
  <c r="V60" i="45"/>
  <c r="R61" i="45"/>
  <c r="S61" i="45"/>
  <c r="T61" i="45"/>
  <c r="U61" i="45"/>
  <c r="V61" i="45"/>
  <c r="Q62" i="45"/>
  <c r="R62" i="45"/>
  <c r="S62" i="45"/>
  <c r="T62" i="45"/>
  <c r="U62" i="45"/>
  <c r="V62" i="45"/>
  <c r="Q63" i="45"/>
  <c r="R63" i="45"/>
  <c r="S63" i="45"/>
  <c r="T63" i="45"/>
  <c r="U63" i="45"/>
  <c r="V63" i="45"/>
  <c r="Q64" i="45"/>
  <c r="R64" i="45"/>
  <c r="S64" i="45"/>
  <c r="T64" i="45"/>
  <c r="U64" i="45"/>
  <c r="V64" i="45"/>
  <c r="Q65" i="45"/>
  <c r="R65" i="45"/>
  <c r="S65" i="45"/>
  <c r="T65" i="45"/>
  <c r="U65" i="45"/>
  <c r="V65" i="45"/>
  <c r="Q66" i="45"/>
  <c r="R66" i="45"/>
  <c r="S66" i="45"/>
  <c r="T66" i="45"/>
  <c r="U66" i="45"/>
  <c r="V66" i="45"/>
  <c r="Q67" i="45"/>
  <c r="R67" i="45"/>
  <c r="S67" i="45"/>
  <c r="T67" i="45"/>
  <c r="U67" i="45"/>
  <c r="V67" i="45"/>
  <c r="Q68" i="45"/>
  <c r="R68" i="45"/>
  <c r="S68" i="45"/>
  <c r="T68" i="45"/>
  <c r="U68" i="45"/>
  <c r="V68" i="45"/>
  <c r="Q69" i="45"/>
  <c r="R69" i="45"/>
  <c r="S69" i="45"/>
  <c r="T69" i="45"/>
  <c r="U69" i="45"/>
  <c r="V69" i="45"/>
  <c r="Q70" i="45"/>
  <c r="R70" i="45"/>
  <c r="S70" i="45"/>
  <c r="T70" i="45"/>
  <c r="U70" i="45"/>
  <c r="V70" i="45"/>
  <c r="Q71" i="45"/>
  <c r="R71" i="45"/>
  <c r="S71" i="45"/>
  <c r="T71" i="45"/>
  <c r="U71" i="45"/>
  <c r="V71" i="45"/>
  <c r="R73" i="45"/>
  <c r="S73" i="45"/>
  <c r="T73" i="45"/>
  <c r="U73" i="45"/>
  <c r="V73" i="45"/>
  <c r="R74" i="45"/>
  <c r="S74" i="45"/>
  <c r="T74" i="45"/>
  <c r="U74" i="45"/>
  <c r="V74" i="45"/>
  <c r="R75" i="45"/>
  <c r="S75" i="45"/>
  <c r="T75" i="45"/>
  <c r="U75" i="45"/>
  <c r="V75" i="45"/>
  <c r="R77" i="45"/>
  <c r="S77" i="45"/>
  <c r="T77" i="45"/>
  <c r="U77" i="45"/>
  <c r="V77" i="45"/>
  <c r="R79" i="45"/>
  <c r="S79" i="45"/>
  <c r="T79" i="45"/>
  <c r="U79" i="45"/>
  <c r="V79" i="45"/>
  <c r="O24" i="31"/>
  <c r="P24" i="31"/>
  <c r="Q24" i="31"/>
  <c r="R24" i="31"/>
  <c r="S24" i="31"/>
  <c r="O25" i="31"/>
  <c r="P25" i="31"/>
  <c r="Q25" i="31"/>
  <c r="R25" i="31"/>
  <c r="S25" i="31"/>
  <c r="N27" i="31"/>
  <c r="O27" i="31"/>
  <c r="P27" i="31"/>
  <c r="Q27" i="31"/>
  <c r="R27" i="31"/>
  <c r="S27" i="31"/>
  <c r="N28" i="31"/>
  <c r="O28" i="31"/>
  <c r="P28" i="31"/>
  <c r="Q28" i="31"/>
  <c r="R28" i="31"/>
  <c r="S28" i="31"/>
  <c r="N29" i="31"/>
  <c r="O29" i="31"/>
  <c r="P29" i="31"/>
  <c r="Q29" i="31"/>
  <c r="R29" i="31"/>
  <c r="S29" i="31"/>
  <c r="N31" i="31"/>
  <c r="O31" i="31"/>
  <c r="P31" i="31"/>
  <c r="Q31" i="31"/>
  <c r="R31" i="31"/>
  <c r="S31" i="31"/>
  <c r="N32" i="31"/>
  <c r="O32" i="31"/>
  <c r="P32" i="31"/>
  <c r="Q32" i="31"/>
  <c r="R32" i="31"/>
  <c r="S32" i="31"/>
  <c r="N33" i="31"/>
  <c r="O33" i="31"/>
  <c r="P33" i="31"/>
  <c r="Q33" i="31"/>
  <c r="R33" i="31"/>
  <c r="S33" i="31"/>
  <c r="N35" i="31"/>
  <c r="O35" i="31"/>
  <c r="P35" i="31"/>
  <c r="Q35" i="31"/>
  <c r="R35" i="31"/>
  <c r="S35" i="31"/>
  <c r="N36" i="31"/>
  <c r="O36" i="31"/>
  <c r="P36" i="31"/>
  <c r="Q36" i="31"/>
  <c r="R36" i="31"/>
  <c r="S36" i="31"/>
  <c r="N37" i="31"/>
  <c r="O37" i="31"/>
  <c r="P37" i="31"/>
  <c r="Q37" i="31"/>
  <c r="R37" i="31"/>
  <c r="S37" i="31"/>
  <c r="N39" i="31"/>
  <c r="O39" i="31"/>
  <c r="P39" i="31"/>
  <c r="Q39" i="31"/>
  <c r="R39" i="31"/>
  <c r="S39" i="31"/>
  <c r="N42" i="31"/>
  <c r="O42" i="31"/>
  <c r="P42" i="31"/>
  <c r="Q42" i="31"/>
  <c r="R42" i="31"/>
  <c r="S42" i="31"/>
  <c r="N43" i="31"/>
  <c r="O43" i="31"/>
  <c r="P43" i="31"/>
  <c r="Q43" i="31"/>
  <c r="R43" i="31"/>
  <c r="S43" i="31"/>
  <c r="N44" i="31"/>
  <c r="O44" i="31"/>
  <c r="P44" i="31"/>
  <c r="Q44" i="31"/>
  <c r="R44" i="31"/>
  <c r="S44" i="31"/>
  <c r="N46" i="31"/>
  <c r="O46" i="31"/>
  <c r="P46" i="31"/>
  <c r="Q46" i="31"/>
  <c r="R46" i="31"/>
  <c r="S46" i="31"/>
  <c r="O49" i="31"/>
  <c r="P49" i="31"/>
  <c r="Q49" i="31"/>
  <c r="R49" i="31"/>
  <c r="S49" i="31"/>
  <c r="N50" i="31"/>
  <c r="O50" i="31"/>
  <c r="P50" i="31"/>
  <c r="Q50" i="31"/>
  <c r="R50" i="31"/>
  <c r="S50" i="31"/>
  <c r="O52" i="31"/>
  <c r="P52" i="31"/>
  <c r="Q52" i="31"/>
  <c r="R52" i="31"/>
  <c r="S52" i="31"/>
  <c r="O53" i="31"/>
  <c r="P53" i="31"/>
  <c r="Q53" i="31"/>
  <c r="R53" i="31"/>
  <c r="S53" i="31"/>
  <c r="O56" i="31"/>
  <c r="P56" i="31"/>
  <c r="Q56" i="31"/>
  <c r="R56" i="31"/>
  <c r="S56" i="31"/>
  <c r="O59" i="31"/>
  <c r="P59" i="31"/>
  <c r="Q59" i="31"/>
  <c r="R59" i="31"/>
  <c r="S59" i="31"/>
  <c r="N61" i="31"/>
  <c r="O61" i="31"/>
  <c r="P61" i="31"/>
  <c r="Q61" i="31"/>
  <c r="R61" i="31"/>
  <c r="S61" i="31"/>
  <c r="N63" i="31"/>
  <c r="O63" i="31"/>
  <c r="P63" i="31"/>
  <c r="Q63" i="31"/>
  <c r="R63" i="31"/>
  <c r="S63" i="31"/>
  <c r="N64" i="31"/>
  <c r="O64" i="31"/>
  <c r="P64" i="31"/>
  <c r="Q64" i="31"/>
  <c r="R64" i="31"/>
  <c r="S64" i="31"/>
  <c r="T69" i="31"/>
  <c r="T70" i="31"/>
  <c r="H75" i="31"/>
  <c r="I75" i="31"/>
  <c r="N75" i="31"/>
  <c r="O75" i="31"/>
  <c r="H76" i="31"/>
  <c r="I76" i="31"/>
  <c r="N76" i="31"/>
  <c r="O76" i="31"/>
  <c r="H77" i="31"/>
  <c r="I77" i="31"/>
  <c r="N77" i="31"/>
  <c r="O77" i="31"/>
  <c r="H79" i="31"/>
  <c r="N79" i="31"/>
  <c r="H80" i="31"/>
  <c r="N80" i="31"/>
  <c r="H81" i="31"/>
  <c r="N81" i="31"/>
  <c r="E94" i="31"/>
  <c r="L94" i="31"/>
  <c r="E103" i="31"/>
  <c r="L103" i="31"/>
  <c r="N112" i="31"/>
  <c r="O112" i="31"/>
  <c r="P112" i="31"/>
  <c r="Q112" i="31"/>
  <c r="R112" i="31"/>
  <c r="S112" i="31"/>
  <c r="N113" i="31"/>
  <c r="O113" i="31"/>
  <c r="P113" i="31"/>
  <c r="Q113" i="31"/>
  <c r="R113" i="31"/>
  <c r="S113" i="31"/>
  <c r="N114" i="31"/>
  <c r="O114" i="31"/>
  <c r="P114" i="31"/>
  <c r="Q114" i="31"/>
  <c r="R114" i="31"/>
  <c r="S114" i="31"/>
  <c r="N115" i="31"/>
  <c r="O115" i="31"/>
  <c r="P115" i="31"/>
  <c r="Q115" i="31"/>
  <c r="R115" i="31"/>
  <c r="S115" i="31"/>
  <c r="N116" i="31"/>
  <c r="O116" i="31"/>
  <c r="P116" i="31"/>
  <c r="Q116" i="31"/>
  <c r="R116" i="31"/>
  <c r="S116" i="31"/>
  <c r="N117" i="31"/>
  <c r="O117" i="31"/>
  <c r="P117" i="31"/>
  <c r="Q117" i="31"/>
  <c r="R117" i="31"/>
  <c r="S117" i="31"/>
  <c r="N118" i="31"/>
  <c r="O118" i="31"/>
  <c r="P118" i="31"/>
  <c r="Q118" i="31"/>
  <c r="R118" i="31"/>
  <c r="S118" i="31"/>
  <c r="N120" i="31"/>
  <c r="O120" i="31"/>
  <c r="P120" i="31"/>
  <c r="Q120" i="31"/>
  <c r="R120" i="31"/>
  <c r="S120" i="31"/>
  <c r="N121" i="31"/>
  <c r="O121" i="31"/>
  <c r="P121" i="31"/>
  <c r="Q121" i="31"/>
  <c r="R121" i="31"/>
  <c r="S121" i="31"/>
  <c r="O123" i="31"/>
  <c r="P123" i="31"/>
  <c r="Q123" i="31"/>
  <c r="R123" i="31"/>
  <c r="S123" i="31"/>
  <c r="N127" i="31"/>
  <c r="O127" i="31"/>
  <c r="P127" i="31"/>
  <c r="Q127" i="31"/>
  <c r="R127" i="31"/>
  <c r="S127" i="31"/>
  <c r="O9" i="40"/>
  <c r="P9" i="40"/>
  <c r="Q9" i="40"/>
  <c r="R9" i="40"/>
  <c r="S9" i="40"/>
  <c r="O10" i="40"/>
  <c r="P10" i="40"/>
  <c r="Q10" i="40"/>
  <c r="R10" i="40"/>
  <c r="S10" i="40"/>
  <c r="N11" i="40"/>
  <c r="O11" i="40"/>
  <c r="P11" i="40"/>
  <c r="Q11" i="40"/>
  <c r="R11" i="40"/>
  <c r="S11" i="40"/>
  <c r="N12" i="40"/>
  <c r="O12" i="40"/>
  <c r="P12" i="40"/>
  <c r="Q12" i="40"/>
  <c r="R12" i="40"/>
  <c r="S12" i="40"/>
  <c r="N13" i="40"/>
  <c r="O13" i="40"/>
  <c r="P13" i="40"/>
  <c r="Q13" i="40"/>
  <c r="R13" i="40"/>
  <c r="S13" i="40"/>
  <c r="N14" i="40"/>
  <c r="O14" i="40"/>
  <c r="P14" i="40"/>
  <c r="Q14" i="40"/>
  <c r="R14" i="40"/>
  <c r="S14" i="40"/>
  <c r="N15" i="40"/>
  <c r="O15" i="40"/>
  <c r="P15" i="40"/>
  <c r="Q15" i="40"/>
  <c r="R15" i="40"/>
  <c r="S15" i="40"/>
  <c r="N16" i="40"/>
  <c r="O16" i="40"/>
  <c r="P16" i="40"/>
  <c r="Q16" i="40"/>
  <c r="R16" i="40"/>
  <c r="S16" i="40"/>
  <c r="N17" i="40"/>
  <c r="O17" i="40"/>
  <c r="P17" i="40"/>
  <c r="Q17" i="40"/>
  <c r="R17" i="40"/>
  <c r="S17" i="40"/>
  <c r="N18" i="40"/>
  <c r="O18" i="40"/>
  <c r="P18" i="40"/>
  <c r="Q18" i="40"/>
  <c r="R18" i="40"/>
  <c r="S18" i="40"/>
  <c r="N19" i="40"/>
  <c r="O19" i="40"/>
  <c r="P19" i="40"/>
  <c r="Q19" i="40"/>
  <c r="R19" i="40"/>
  <c r="S19" i="40"/>
  <c r="O22" i="40"/>
  <c r="P22" i="40"/>
  <c r="Q22" i="40"/>
  <c r="R22" i="40"/>
  <c r="S22" i="40"/>
  <c r="O23" i="40"/>
  <c r="P23" i="40"/>
  <c r="Q23" i="40"/>
  <c r="R23" i="40"/>
  <c r="S23" i="40"/>
  <c r="O25" i="40"/>
  <c r="P25" i="40"/>
  <c r="Q25" i="40"/>
  <c r="R25" i="40"/>
  <c r="S25" i="40"/>
  <c r="O27" i="40"/>
  <c r="P27" i="40"/>
  <c r="Q27" i="40"/>
  <c r="R27" i="40"/>
  <c r="S27" i="40"/>
  <c r="N28" i="40"/>
  <c r="O28" i="40"/>
  <c r="P28" i="40"/>
  <c r="Q28" i="40"/>
  <c r="R28" i="40"/>
  <c r="S28" i="40"/>
  <c r="T28" i="40"/>
  <c r="N31" i="40"/>
  <c r="O31" i="40"/>
  <c r="P31" i="40"/>
  <c r="Q31" i="40"/>
  <c r="R31" i="40"/>
  <c r="S31" i="40"/>
  <c r="T31" i="40"/>
  <c r="F37" i="40"/>
  <c r="G37" i="40"/>
  <c r="F38" i="40"/>
  <c r="G38" i="40"/>
  <c r="F39" i="40"/>
  <c r="G39" i="40"/>
  <c r="F41" i="40"/>
  <c r="F42" i="40"/>
  <c r="F43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49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stays constant</t>
        </r>
      </text>
    </comment>
    <comment ref="Q53" authorId="4" shapeId="0" xr:uid="{00000000-0006-0000-0500-00001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<sst xmlns="http://schemas.openxmlformats.org/spreadsheetml/2006/main" count="263" uniqueCount="155">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</sst>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-* #,##0.00_-;\-* #,##0.00_-;_-* &quot;-&quot;??_-;_-@_-"/>
    <numFmt numFmtId="172" formatCode="_(&quot;£&quot;* #,##0_);_(&quot;£&quot;* \(#,##0\);_(&quot;£&quot;* &quot;-&quot;_);_(@_)"/>
    <numFmt numFmtId="173" formatCode="#,##0.0_);\(#,##0.0\)"/>
    <numFmt numFmtId="174" formatCode="0.0%;\(0.0%\)"/>
    <numFmt numFmtId="175" formatCode="yyyy&quot;A&quot;"/>
    <numFmt numFmtId="176" formatCode="yyyy&quot;E&quot;"/>
    <numFmt numFmtId="177" formatCode="0.00%;\(0.00%\)"/>
    <numFmt numFmtId="178" formatCode="#,##0.000_);\(#,##0.000\)"/>
    <numFmt numFmtId="179" formatCode="#,##0;[Red]\(#,##0\)"/>
    <numFmt numFmtId="180" formatCode="_-* #,##0_-;\-* #,##0_-;_-* &quot;-&quot;??_-;_-@_-"/>
    <numFmt numFmtId="181" formatCode="0.0%"/>
    <numFmt numFmtId="182" formatCode="#,##0;\(#,##0\)"/>
    <numFmt numFmtId="183" formatCode="#,##0.0;\(#,##0.0\)"/>
    <numFmt numFmtId="184" formatCode="yyyy\A"/>
    <numFmt numFmtId="185" formatCode="_(* #,##0.0_);_(* \(#,##0.0\);_(* &quot;-&quot;??_);_(@_)"/>
    <numFmt numFmtId="186" formatCode="#,###_);\(#,###\)"/>
    <numFmt numFmtId="187" formatCode="#,##0.0_);\(#,##0.0\);\-_);@_)"/>
    <numFmt numFmtId="188" formatCode="0.0_)"/>
    <numFmt numFmtId="189" formatCode="_(* #,##0.00000_);_(* \(#,##0.00000\);_(* &quot;-&quot;??_);_(@_)"/>
    <numFmt numFmtId="190" formatCode="#.##000"/>
    <numFmt numFmtId="191" formatCode="\$#,#00"/>
    <numFmt numFmtId="192" formatCode=";;;"/>
    <numFmt numFmtId="193" formatCode="mmmddyyyy"/>
    <numFmt numFmtId="194" formatCode="_(* #,##0.000_);_(* \(#,##0.000\);_(* &quot;-&quot;??_);_(@_)"/>
    <numFmt numFmtId="195" formatCode="0.0000"/>
    <numFmt numFmtId="196" formatCode="#,##0.00_)&quot;x&quot;;[Red]\(#,##0.00\)&quot;x&quot;"/>
    <numFmt numFmtId="197" formatCode="#,##0.0_);\(#,##0.0\);#,##0.0_);@_)"/>
    <numFmt numFmtId="198" formatCode="&quot;$&quot;_(#,##0.00_);&quot;$&quot;\(#,##0.00\)"/>
    <numFmt numFmtId="199" formatCode="_(&quot;€&quot;* #,##0.0000_);_(&quot;€&quot;* \(#,##0.0000\);_(&quot;€&quot;* &quot;-&quot;??_);_(@_)"/>
    <numFmt numFmtId="200" formatCode="&quot;€&quot;#,##0.00"/>
    <numFmt numFmtId="201" formatCode="mmm\-d\-yy"/>
    <numFmt numFmtId="202" formatCode="_(&quot;€&quot;* #,##0.00_);_(&quot;€&quot;* \(#,##0.00\);_(&quot;€&quot;* &quot;-&quot;??_);_(@_)"/>
    <numFmt numFmtId="203" formatCode="0.0"/>
    <numFmt numFmtId="204" formatCode="0.000%;[Red]\(0.000%\)"/>
    <numFmt numFmtId="205" formatCode="_(* #,##0_);_(* \(#,##0\)"/>
    <numFmt numFmtId="206" formatCode="0.000%;;&quot;-- &quot;"/>
    <numFmt numFmtId="207" formatCode="#,##0.0_)\x;\(#,##0.0\)\x"/>
    <numFmt numFmtId="208" formatCode="#,##0_)\x;\(#,##0\)\x;0_)\x;@_)_x"/>
    <numFmt numFmtId="209" formatCode="%#,#00"/>
    <numFmt numFmtId="210" formatCode="0.0&quot;%&quot;_;\(0.0\)&quot;%&quot;"/>
    <numFmt numFmtId="211" formatCode="#,##0.0_)_x;\(#,##0.0\)_x"/>
    <numFmt numFmtId="212" formatCode="#,##0_)_x;\(#,##0\)_x;0_)_x;@_)_x"/>
    <numFmt numFmtId="213" formatCode="#,"/>
    <numFmt numFmtId="214" formatCode="#,##0.00\p;\(#,##0.00\p\)"/>
    <numFmt numFmtId="215" formatCode="_-* #,##0.00\ [$€-1]_-;\-* #,##0.00\ [$€-1]_-;_-* &quot;-&quot;??\ [$€-1]_-"/>
    <numFmt numFmtId="216" formatCode="0.0&quot;%&quot;;\(0.0\)&quot;%&quot;"/>
    <numFmt numFmtId="217" formatCode="#,##0;[Red]&quot;-&quot;#,##0"/>
    <numFmt numFmtId="218" formatCode="\£#,##0.0;\(\£#,##0.0\);\£#,##0.0"/>
    <numFmt numFmtId="219" formatCode="0.0_)\%;\(0.0\)\%"/>
    <numFmt numFmtId="220" formatCode="#,##0.0_)_%;\(#,##0.0\)_%"/>
    <numFmt numFmtId="221" formatCode="#,##0;\(#,##0\);&quot;-&quot;"/>
    <numFmt numFmtId="222" formatCode="0.0_);\(0.0\)"/>
    <numFmt numFmtId="223" formatCode="_(&quot;€&quot;* #,##0_);_(&quot;€&quot;* \(#,##0\);_(&quot;€&quot;* &quot;-&quot;_);_(@_)"/>
    <numFmt numFmtId="224" formatCode="&quot;$&quot;#.#"/>
    <numFmt numFmtId="225" formatCode="\£\ #,##0_);[Red]\(\£\ #,##0\)"/>
    <numFmt numFmtId="226" formatCode="\¥\ #,##0_);[Red]\(\¥\ #,##0\)"/>
    <numFmt numFmtId="227" formatCode="#,##0.0&quot;¢&quot;;\-#,##0.0&quot;¢&quot;"/>
    <numFmt numFmtId="228" formatCode="#,##0.0_);[Red]\(#,##0.0\)"/>
    <numFmt numFmtId="229" formatCode="\•\ \ @"/>
    <numFmt numFmtId="230" formatCode="\ \ _•\–\ \ \ \ @"/>
    <numFmt numFmtId="231" formatCode="0.000_)"/>
    <numFmt numFmtId="232" formatCode="0.000%"/>
    <numFmt numFmtId="233" formatCode="_(\£* #,##0_);_(\£* \(#,##0\);_(\£* &quot;-&quot;_);_(@_)"/>
    <numFmt numFmtId="234" formatCode="_(\£* #,##0.0_);_(\£* \(#,##0.0\);_(\£* &quot;-&quot;_);_(@_)"/>
    <numFmt numFmtId="235" formatCode="_(\£* #,##0.00_);_(\£* \(#,##0.00\);_(\£* &quot;-&quot;_);_(@_)"/>
    <numFmt numFmtId="236" formatCode="_(* #,##0\p_);_(* \(#,##0\p\);_(* &quot;-&quot;\ \p_);_(@_)"/>
    <numFmt numFmtId="237" formatCode="_(* #,##0.00\p_);_(* \(#,##0.00\p\);_(* &quot;-&quot;\ \p_);_(@_)"/>
    <numFmt numFmtId="238" formatCode="\£#,##0.00"/>
    <numFmt numFmtId="239" formatCode="#,##0.00\x;\(#,##0.00\)\x"/>
    <numFmt numFmtId="240" formatCode="0_);\(0\)"/>
    <numFmt numFmtId="241" formatCode="#,##0_);[Red]\(#,##0\);&quot;--  &quot;"/>
    <numFmt numFmtId="242" formatCode="0.0%;[Red]\(0.0%\);&quot;--  &quot;"/>
    <numFmt numFmtId="243" formatCode="&quot;Esc &quot;#,##0\ \b\n;\(#,##0\)"/>
    <numFmt numFmtId="244" formatCode="&quot;$&quot;#,##0.00&quot;A&quot;;[Red]\(&quot;$&quot;#,##0.00\)&quot;A&quot;"/>
    <numFmt numFmtId="245" formatCode="&quot;$&quot;#,##0.00&quot;E&quot;;[Red]\(&quot;$&quot;#,##0.00\)&quot;E&quot;"/>
    <numFmt numFmtId="246" formatCode="&quot;$&quot;#,##0.00000000000000000000000000_);[Red]\(&quot;$&quot;#,##0.00000000000000000000000000\)"/>
    <numFmt numFmtId="247" formatCode="_-[$€]* #,##0.00_-;\-[$€]* #,##0.00_-;_-[$€]* &quot;-&quot;??_-;_-@_-"/>
    <numFmt numFmtId="248" formatCode="#,##0;\(#,##0\);\—"/>
    <numFmt numFmtId="249" formatCode="_(* #,##0_);_(* \(#,##0\);_(* &quot;-&quot;??_);_(@_)"/>
    <numFmt numFmtId="250" formatCode="#,##0.0;[Red]\(#,##0.0\)"/>
    <numFmt numFmtId="251" formatCode="#,##0.0000_);\(#,##0.0000\);@_)"/>
    <numFmt numFmtId="252" formatCode="#,##0_);\(#,##0\);\-_)"/>
    <numFmt numFmtId="253" formatCode="#,##0_);\(#,##0\);0_)"/>
    <numFmt numFmtId="254" formatCode="#,##0.0000000000;\(#,##0.0000000000\)"/>
    <numFmt numFmtId="255" formatCode="#,##0.0_);\(#,##0.0\);0.0_)"/>
    <numFmt numFmtId="256" formatCode="#,##0_);\(#,##0\);@_)"/>
    <numFmt numFmtId="257" formatCode="_-&quot;kb/d&quot;* #,##0.00_-;\-&quot;kb/d&quot;* #,##0.00_-;_-&quot;k/bd&quot;* &quot;-&quot;??_-;_-@_-"/>
    <numFmt numFmtId="258" formatCode="###0_);\(###0\);\-_);@_)"/>
    <numFmt numFmtId="259" formatCode="#,##0.0&quot;x&quot;;\(#,##0.0&quot;x&quot;\)"/>
    <numFmt numFmtId="260" formatCode="#,##0_);\(#,##0\);\-_);@_)"/>
    <numFmt numFmtId="261" formatCode="0.0%;\(0.0\)%;\—\%"/>
    <numFmt numFmtId="262" formatCode="0_)"/>
    <numFmt numFmtId="263" formatCode="\$#,##0;\(\$#,##0\);\-\ 0\ \-;[Red]@"/>
    <numFmt numFmtId="264" formatCode="0.00_);\(0.00\)"/>
    <numFmt numFmtId="265" formatCode="&quot;£&quot;#,##0_);&quot;£&quot;\(#,##0\);&quot;£&quot;#,##0_);@_)"/>
    <numFmt numFmtId="266" formatCode="#,##0.0;\(#,##0.0\);&quot;OK&quot;"/>
    <numFmt numFmtId="267" formatCode="0&quot; bp&quot;"/>
    <numFmt numFmtId="268" formatCode="_-* #,##0\ &quot;Pts&quot;_-;\-* #,##0\ &quot;Pts&quot;_-;_-* &quot;-&quot;\ &quot;Pts&quot;_-;_-@_-"/>
    <numFmt numFmtId="269" formatCode="_-* #,##0\ _P_t_s_-;\-* #,##0\ _P_t_s_-;_-* &quot;-&quot;\ _P_t_s_-;_-@_-"/>
    <numFmt numFmtId="270" formatCode="_-* #,##0.00\ &quot;Pts&quot;_-;\-* #,##0.00\ &quot;Pts&quot;_-;_-* &quot;-&quot;??\ &quot;Pts&quot;_-;_-@_-"/>
    <numFmt numFmtId="271" formatCode="&quot;Proj &quot;0;;"/>
    <numFmt numFmtId="272" formatCode="#,##0.000"/>
    <numFmt numFmtId="273" formatCode="&quot;£ &quot;#,##0.00;[Red]\(&quot;£ &quot;#,##0.00\);&quot;--  &quot;;_(@_)"/>
    <numFmt numFmtId="274" formatCode="#,##0.0%_);\(#,##0.0%\)"/>
    <numFmt numFmtId="275" formatCode="#\ ##0.0"/>
    <numFmt numFmtId="276" formatCode="#,##0_);\(#,##0\);&quot;-&quot;?"/>
    <numFmt numFmtId="277" formatCode="#,##0.00_);\(#,##0.00\);&quot;-&quot;?"/>
    <numFmt numFmtId="278" formatCode="#,##0.00&quot;x&quot;;[Red]\(#,##0.00&quot;x&quot;\)"/>
    <numFmt numFmtId="279" formatCode="0.0\x"/>
    <numFmt numFmtId="280" formatCode="#,##0.00_);\(#,##0.00\);0.00_)"/>
    <numFmt numFmtId="281" formatCode="General_)"/>
    <numFmt numFmtId="282" formatCode="#,##0.0"/>
    <numFmt numFmtId="283" formatCode="&quot;$&quot;#,##0.00_);[Red]\(&quot;$&quot;#,##0.00\);&quot;--  &quot;;_(@_)"/>
    <numFmt numFmtId="284" formatCode="&quot;€&quot;#,##0.00_);\(&quot;€&quot;#,##0.00\)"/>
    <numFmt numFmtId="285" formatCode="0.0%_);\(0.0%\)"/>
    <numFmt numFmtId="286" formatCode="&quot;EUR &quot;#,##0.0_);\(&quot;EUR &quot;#,##0.0\)"/>
    <numFmt numFmtId="287" formatCode="0.0%_);[Red]\(0.0%\)"/>
    <numFmt numFmtId="288" formatCode="_-\€* #,##0_-;\-&quot;£&quot;* #,##0_-;_-&quot;£&quot;* &quot;-&quot;_-;_-@_-"/>
    <numFmt numFmtId="289" formatCode="_-* #,##0.00\ _P_t_s_-;\-* #,##0.00\ _P_t_s_-;_-* &quot;-&quot;??\ _P_t_s_-;_-@_-"/>
    <numFmt numFmtId="290" formatCode="###0_);\(###0\);"/>
    <numFmt numFmtId="291" formatCode="_ * #,##0.00_-\ &quot;€&quot;_ ;_ * #,##0.00\-\ &quot;€&quot;_ ;_ * &quot;-&quot;??_-\ &quot;€&quot;_ ;_ @_ "/>
    <numFmt numFmtId="292" formatCode="0&quot;E&quot;"/>
    <numFmt numFmtId="293" formatCode="#,##0.00_x"/>
    <numFmt numFmtId="294" formatCode="&quot;$&quot;#\ ?/?"/>
    <numFmt numFmtId="295" formatCode="0&quot; mos&quot;"/>
    <numFmt numFmtId="296" formatCode="mmm\-d\-yyyy"/>
    <numFmt numFmtId="297" formatCode="mmm\-yyyy"/>
    <numFmt numFmtId="298" formatCode="0_);\(0\);\-_);@_)"/>
    <numFmt numFmtId="299" formatCode="_-* #,##0.00\ _F_-;\-* #,##0.00\ _F_-;_-* &quot;-&quot;??\ _F_-;_-@_-"/>
    <numFmt numFmtId="300" formatCode="0.00%;[Red]\ \(0.00%\)"/>
    <numFmt numFmtId="301" formatCode="0\ &quot;mos&quot;"/>
    <numFmt numFmtId="302" formatCode="0_);[Red]\(0\)"/>
    <numFmt numFmtId="303" formatCode="0.000"/>
    <numFmt numFmtId="304" formatCode="&quot;$&quot;#,##0.0;[Red]\(&quot;$&quot;#,##0.0\)"/>
    <numFmt numFmtId="305" formatCode="\$#,##0_);\$\(#,##0\);_-* &quot;--&quot;_-;_-@_-"/>
    <numFmt numFmtId="306" formatCode="\$#,##0.0_);\$\(#,##0.0\);_-* &quot;--&quot;_-;_-@_-"/>
    <numFmt numFmtId="307" formatCode="#,##0.0,_);\(#,##0.0,\)"/>
    <numFmt numFmtId="308" formatCode="#,##0.0_);\(#,##0.0\);@*."/>
    <numFmt numFmtId="309" formatCode="#,#00"/>
    <numFmt numFmtId="310" formatCode="0.0&quot;x&quot;;@_)"/>
    <numFmt numFmtId="311" formatCode="#,##0.0%_);\(#,##0.0%\);0.0%_)"/>
    <numFmt numFmtId="312" formatCode="#,##0.000000"/>
    <numFmt numFmtId="313" formatCode="0.0%;[Red]\(0.0%\)"/>
    <numFmt numFmtId="314" formatCode="#,##0.00_)\ \x;\(#,##0.00\)\ \x"/>
    <numFmt numFmtId="315" formatCode="&quot;$&quot;#,##0.00;[Red]&quot;$&quot;\-#,##0.00"/>
    <numFmt numFmtId="316" formatCode="0.00\x"/>
    <numFmt numFmtId="317" formatCode="&quot;Proj &quot;0"/>
    <numFmt numFmtId="318" formatCode="#,##0.0%;\(#,##0.0%\)"/>
    <numFmt numFmtId="319" formatCode="#,##0.00;\(#,##0.00\)"/>
    <numFmt numFmtId="320" formatCode="_ \ * #,##0.0_);_ \ * \(#,##0.0\)"/>
    <numFmt numFmtId="321" formatCode="0.0%;[Red]\ \(0.0%\)"/>
    <numFmt numFmtId="322" formatCode="_-* #,##0.00\ _D_M_-;\-* #,##0.00\ _D_M_-;_-* &quot;-&quot;??\ _D_M_-;_-@_-"/>
    <numFmt numFmtId="323" formatCode="&quot;$&quot;#,##0.0_);\(&quot;$&quot;#,##0.0\)"/>
    <numFmt numFmtId="324" formatCode="#,##0.0,,_);\(#,##0.0,,\)"/>
    <numFmt numFmtId="325" formatCode="#,##0.0\x_);\(#,##0.0\x\)"/>
    <numFmt numFmtId="326" formatCode="#,##0%_);\(#,##0%\)"/>
    <numFmt numFmtId="327" formatCode="&quot;$&quot;#,##0.000_);[Red]\(&quot;$&quot;#,##0.000\);&quot;--  &quot;;_(@_)"/>
    <numFmt numFmtId="328" formatCode="_(* #,##0\ \x_);_(* \(#,##0\ \x\);_(* &quot;-&quot;??_);_(@_)"/>
    <numFmt numFmtId="329" formatCode="0.0%_);\(0.0%\);0.0%_);@_)"/>
    <numFmt numFmtId="330" formatCode="0.0\x_);\(0.0\x\);0.0\x_);@_)"/>
    <numFmt numFmtId="331" formatCode="0.00%_);\(0.00%\);0.00%_);@_)"/>
    <numFmt numFmtId="332" formatCode="m/d/yy"/>
    <numFmt numFmtId="333" formatCode="&quot;$&quot;_(#,##0.00_);&quot;$&quot;\(#,##0.00\);&quot;$&quot;_(0.00_);@_)"/>
    <numFmt numFmtId="334" formatCode="0.0%_);\(0.0%\);\ \-\-\ "/>
    <numFmt numFmtId="335" formatCode="#,##0.00_);\(#,##0.00\);0.00_);@_)"/>
    <numFmt numFmtId="336" formatCode="&quot;£&quot;_(#,##0.00_);&quot;£&quot;\(#,##0.00\)"/>
    <numFmt numFmtId="337" formatCode="0.00&quot;      &quot;"/>
    <numFmt numFmtId="338" formatCode="\€_(#,##0.00_);\€\(#,##0.00\);\€_(0.00_);@_)"/>
    <numFmt numFmtId="339" formatCode="&quot;€&quot;_(#,##0.00_);&quot;€&quot;\(#,##0.00\);&quot;€&quot;_(0.00_);@_)"/>
    <numFmt numFmtId="340" formatCode="#,##0.0000;\-#,##0.0000"/>
    <numFmt numFmtId="341" formatCode="_(* #,##0.000_)\ \ ;_(* \(#,##0.000\)\ \ ;_(* &quot;-&quot;??_)\ \ ;_(@_)"/>
    <numFmt numFmtId="342" formatCode="#,##0.00;\(#,##0.00\);\-"/>
    <numFmt numFmtId="343" formatCode="###0&quot;A&quot;"/>
    <numFmt numFmtId="344" formatCode="#,##0.00000;\-#,##0.00000"/>
    <numFmt numFmtId="345" formatCode="0.0&quot;x&quot;\ \ \ \ "/>
    <numFmt numFmtId="346" formatCode="#,##0\ _F;\(#,##0\)\ _F;\-\ _F"/>
    <numFmt numFmtId="347" formatCode="#,##0;\(###0\);\-"/>
    <numFmt numFmtId="348" formatCode="_(* #,##0.0_)\ \ ;_(* \(#,##0.0\)\ \ ;_(* &quot;-&quot;??_)\ \ ;_(@_)"/>
    <numFmt numFmtId="349" formatCode="#,##0\ _F;\(#,##0\)\ _F"/>
    <numFmt numFmtId="350" formatCode="0%_);\(0%\);\ \-\-\ "/>
    <numFmt numFmtId="351" formatCode="&quot;F&quot;#,##0_);\(&quot;F&quot;#,##0\)"/>
    <numFmt numFmtId="352" formatCode="#,##0_)"/>
    <numFmt numFmtId="353" formatCode="0&quot;A&quot;"/>
    <numFmt numFmtId="354" formatCode="0\A"/>
    <numFmt numFmtId="355" formatCode="0.00%&quot; Stock Pooling&quot;"/>
    <numFmt numFmtId="356" formatCode="#,##0_);\(#,##0\);\-_);"/>
    <numFmt numFmtId="357" formatCode="###0.0;\(###0.0\)"/>
    <numFmt numFmtId="358" formatCode="0\ \ ;\(0\)\ \ \ "/>
    <numFmt numFmtId="359" formatCode="_-* #,##0.0\ _F_-;\-* #,##0.0\ _F_-;_-* &quot;-&quot;?\ _F_-;_-@_-"/>
    <numFmt numFmtId="360" formatCode="&quot;$&quot;#,##0.00_)_x_x_x;\(&quot;$&quot;#,##0.00\)_x_x_x"/>
    <numFmt numFmtId="361" formatCode="_-* #,##0.00\ &quot;F&quot;_-;\-* #,##0.00\ &quot;F&quot;_-;_-* &quot;-&quot;??\ &quot;F&quot;_-;_-@_-"/>
    <numFmt numFmtId="362" formatCode="###0.0_);\(###0.0\)"/>
    <numFmt numFmtId="363" formatCode="\+* #,##0.00;[Red]\-* #,##0.00"/>
    <numFmt numFmtId="364" formatCode="\+* #,##0;[Red]\-* #,##0"/>
    <numFmt numFmtId="365" formatCode="#,##0.00_);\(#,##0.00\);#,##0.00_);@_)"/>
    <numFmt numFmtId="366" formatCode="#,##0.0_);\(#,##0.0\);&quot;-  &quot;;@_)"/>
  </numFmts>
  <fonts count="342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</fonts>
  <fills count="10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4" fontId="28" fillId="11" borderId="0">
      <alignment horizontal="right"/>
    </xf>
    <xf numFmtId="0" fontId="6" fillId="0" borderId="0">
      <alignment vertical="center"/>
    </xf>
    <xf numFmtId="173" fontId="8" fillId="3" borderId="25"/>
    <xf numFmtId="185" fontId="31" fillId="0" borderId="0">
      <alignment horizontal="right"/>
    </xf>
    <xf numFmtId="173" fontId="32" fillId="14" borderId="0"/>
    <xf numFmtId="186" fontId="33" fillId="0" borderId="0" applyFont="0" applyFill="0" applyBorder="0" applyAlignment="0" applyProtection="0"/>
    <xf numFmtId="0" fontId="2" fillId="0" borderId="0"/>
    <xf numFmtId="186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" fillId="0" borderId="0"/>
    <xf numFmtId="0" fontId="6" fillId="0" borderId="0"/>
    <xf numFmtId="188" fontId="6" fillId="0" borderId="0"/>
    <xf numFmtId="189" fontId="35" fillId="0" borderId="0"/>
    <xf numFmtId="190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81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82" fontId="38" fillId="0" borderId="11" applyFont="0" applyFill="0" applyBorder="0" applyAlignment="0" applyProtection="0"/>
    <xf numFmtId="173" fontId="35" fillId="0" borderId="0" applyFont="0" applyFill="0" applyBorder="0" applyAlignment="0" applyProtection="0"/>
    <xf numFmtId="192" fontId="35" fillId="0" borderId="0" applyFont="0" applyFill="0" applyBorder="0" applyAlignment="0"/>
    <xf numFmtId="193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9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8" fontId="6" fillId="0" borderId="0" applyFont="0" applyFill="0" applyBorder="0" applyAlignment="0" applyProtection="0"/>
    <xf numFmtId="19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18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5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170" fontId="4" fillId="3" borderId="26"/>
    <xf numFmtId="170" fontId="4" fillId="3" borderId="26"/>
    <xf numFmtId="170" fontId="4" fillId="3" borderId="26"/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170" fontId="4" fillId="3" borderId="26"/>
    <xf numFmtId="170" fontId="4" fillId="3" borderId="26"/>
    <xf numFmtId="3" fontId="4" fillId="3" borderId="26">
      <alignment horizontal="right"/>
    </xf>
    <xf numFmtId="20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3" fontId="4" fillId="0" borderId="0" applyFont="0" applyFill="0" applyBorder="0" applyAlignment="0" applyProtection="0"/>
    <xf numFmtId="214" fontId="35" fillId="0" borderId="0" applyFont="0" applyFill="0" applyBorder="0" applyAlignment="0" applyProtection="0"/>
    <xf numFmtId="214" fontId="35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15" fontId="4" fillId="0" borderId="0" applyFont="0" applyFill="0" applyBorder="0" applyAlignment="0" applyProtection="0"/>
    <xf numFmtId="216" fontId="6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35" fillId="0" borderId="0" applyFont="0" applyFill="0" applyBorder="0" applyAlignment="0" applyProtection="0"/>
    <xf numFmtId="218" fontId="35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20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6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202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7" fontId="33" fillId="0" borderId="0" applyFont="0" applyFill="0" applyBorder="0" applyAlignment="0" applyProtection="0"/>
    <xf numFmtId="227" fontId="33" fillId="0" borderId="0" applyFont="0" applyFill="0" applyBorder="0" applyAlignment="0" applyProtection="0"/>
    <xf numFmtId="183" fontId="33" fillId="0" borderId="0" applyFont="0" applyFill="0" applyBorder="0" applyAlignment="0" applyProtection="0"/>
    <xf numFmtId="225" fontId="38" fillId="0" borderId="0" applyFont="0" applyFill="0" applyBorder="0" applyAlignment="0" applyProtection="0"/>
    <xf numFmtId="228" fontId="6" fillId="0" borderId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194" fontId="35" fillId="0" borderId="0"/>
    <xf numFmtId="232" fontId="35" fillId="0" borderId="0"/>
    <xf numFmtId="195" fontId="35" fillId="0" borderId="0"/>
    <xf numFmtId="233" fontId="53" fillId="0" borderId="0" applyFont="0" applyFill="0" applyBorder="0" applyAlignment="0" applyProtection="0"/>
    <xf numFmtId="234" fontId="53" fillId="0" borderId="0" applyFont="0" applyFill="0" applyBorder="0" applyAlignment="0" applyProtection="0"/>
    <xf numFmtId="235" fontId="53" fillId="0" borderId="0" applyFont="0" applyFill="0" applyBorder="0" applyAlignment="0" applyProtection="0"/>
    <xf numFmtId="236" fontId="53" fillId="0" borderId="0" applyFont="0" applyFill="0" applyBorder="0" applyAlignment="0" applyProtection="0"/>
    <xf numFmtId="237" fontId="53" fillId="0" borderId="0" applyFont="0" applyFill="0" applyBorder="0" applyAlignment="0" applyProtection="0"/>
    <xf numFmtId="238" fontId="54" fillId="0" borderId="0" applyFont="0" applyFill="0" applyBorder="0" applyAlignment="0" applyProtection="0"/>
    <xf numFmtId="226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203" fontId="56" fillId="0" borderId="0"/>
    <xf numFmtId="223" fontId="4" fillId="0" borderId="0">
      <alignment horizontal="left"/>
      <protection locked="0"/>
    </xf>
    <xf numFmtId="181" fontId="56" fillId="0" borderId="0"/>
    <xf numFmtId="183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83" fontId="56" fillId="0" borderId="0"/>
    <xf numFmtId="182" fontId="38" fillId="0" borderId="0"/>
    <xf numFmtId="182" fontId="38" fillId="0" borderId="0"/>
    <xf numFmtId="239" fontId="38" fillId="0" borderId="0">
      <alignment horizontal="center"/>
    </xf>
    <xf numFmtId="240" fontId="33" fillId="0" borderId="0" applyFont="0" applyFill="0" applyBorder="0" applyAlignment="0" applyProtection="0"/>
    <xf numFmtId="185" fontId="4" fillId="0" borderId="0" applyFont="0" applyFill="0" applyBorder="0" applyAlignment="0" applyProtection="0"/>
    <xf numFmtId="173" fontId="4" fillId="0" borderId="0"/>
    <xf numFmtId="173" fontId="4" fillId="0" borderId="0">
      <alignment horizontal="right"/>
    </xf>
    <xf numFmtId="37" fontId="58" fillId="0" borderId="0">
      <alignment horizontal="center"/>
    </xf>
    <xf numFmtId="173" fontId="59" fillId="0" borderId="0">
      <alignment horizontal="center"/>
    </xf>
    <xf numFmtId="168" fontId="60" fillId="0" borderId="0"/>
    <xf numFmtId="241" fontId="4" fillId="0" borderId="0"/>
    <xf numFmtId="242" fontId="4" fillId="0" borderId="0"/>
    <xf numFmtId="243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73" fontId="62" fillId="3" borderId="17" applyAlignment="0"/>
    <xf numFmtId="174" fontId="62" fillId="3" borderId="17" applyAlignment="0"/>
    <xf numFmtId="181" fontId="62" fillId="3" borderId="17"/>
    <xf numFmtId="168" fontId="60" fillId="3" borderId="25"/>
    <xf numFmtId="241" fontId="4" fillId="3" borderId="25"/>
    <xf numFmtId="181" fontId="60" fillId="3" borderId="25"/>
    <xf numFmtId="0" fontId="63" fillId="0" borderId="33" applyNumberFormat="0" applyFill="0" applyAlignment="0" applyProtection="0"/>
    <xf numFmtId="182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23" fontId="4" fillId="32" borderId="17" applyProtection="0">
      <alignment horizontal="right"/>
      <protection locked="0"/>
    </xf>
    <xf numFmtId="240" fontId="6" fillId="32" borderId="17" applyProtection="0">
      <alignment horizontal="right"/>
      <protection locked="0"/>
    </xf>
    <xf numFmtId="185" fontId="4" fillId="32" borderId="17" applyProtection="0">
      <alignment horizontal="right"/>
      <protection locked="0"/>
    </xf>
    <xf numFmtId="244" fontId="4" fillId="32" borderId="17" applyProtection="0">
      <alignment horizontal="right"/>
    </xf>
    <xf numFmtId="245" fontId="4" fillId="32" borderId="17" applyProtection="0">
      <alignment horizontal="right"/>
    </xf>
    <xf numFmtId="246" fontId="4" fillId="32" borderId="17" applyProtection="0">
      <alignment horizontal="right"/>
    </xf>
    <xf numFmtId="247" fontId="4" fillId="32" borderId="17" applyProtection="0">
      <alignment horizontal="right"/>
    </xf>
    <xf numFmtId="198" fontId="4" fillId="32" borderId="17" applyProtection="0">
      <alignment horizontal="right"/>
    </xf>
    <xf numFmtId="207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8" fontId="6" fillId="0" borderId="0"/>
    <xf numFmtId="189" fontId="35" fillId="0" borderId="0"/>
    <xf numFmtId="9" fontId="37" fillId="0" borderId="0"/>
    <xf numFmtId="181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8" fontId="3" fillId="3" borderId="20" applyFill="0" applyBorder="0" applyAlignment="0" applyProtection="0"/>
    <xf numFmtId="178" fontId="66" fillId="0" borderId="0"/>
    <xf numFmtId="0" fontId="31" fillId="0" borderId="0"/>
    <xf numFmtId="0" fontId="31" fillId="0" borderId="0"/>
    <xf numFmtId="178" fontId="66" fillId="0" borderId="0"/>
    <xf numFmtId="194" fontId="35" fillId="0" borderId="0"/>
    <xf numFmtId="232" fontId="35" fillId="0" borderId="0"/>
    <xf numFmtId="195" fontId="35" fillId="0" borderId="0"/>
    <xf numFmtId="249" fontId="37" fillId="0" borderId="0"/>
    <xf numFmtId="0" fontId="37" fillId="0" borderId="0"/>
    <xf numFmtId="185" fontId="37" fillId="0" borderId="0"/>
    <xf numFmtId="170" fontId="37" fillId="0" borderId="0"/>
    <xf numFmtId="228" fontId="32" fillId="0" borderId="0" applyFont="0" applyFill="0" applyBorder="0" applyAlignment="0" applyProtection="0"/>
    <xf numFmtId="0" fontId="60" fillId="0" borderId="0"/>
    <xf numFmtId="211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9" fontId="4" fillId="32" borderId="17" applyFont="0" applyFill="0" applyBorder="0" applyAlignment="0" applyProtection="0"/>
    <xf numFmtId="248" fontId="6" fillId="0" borderId="0"/>
    <xf numFmtId="0" fontId="31" fillId="0" borderId="0" applyNumberFormat="0" applyBorder="0" applyAlignment="0"/>
    <xf numFmtId="248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50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73" fontId="35" fillId="0" borderId="0" applyNumberFormat="0" applyFont="0" applyAlignment="0" applyProtection="0"/>
    <xf numFmtId="251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52" fontId="7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61" fontId="4" fillId="0" borderId="0" applyNumberFormat="0" applyFont="0" applyAlignment="0"/>
    <xf numFmtId="0" fontId="75" fillId="35" borderId="0" applyNumberFormat="0" applyBorder="0">
      <alignment horizontal="center" vertical="center"/>
    </xf>
    <xf numFmtId="173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50" fontId="17" fillId="0" borderId="0">
      <protection locked="0"/>
    </xf>
    <xf numFmtId="1" fontId="78" fillId="35" borderId="0" applyBorder="0" applyAlignment="0" applyProtection="0"/>
    <xf numFmtId="213" fontId="4" fillId="0" borderId="0">
      <alignment horizontal="right"/>
    </xf>
    <xf numFmtId="262" fontId="4" fillId="0" borderId="0" applyBorder="0" applyProtection="0"/>
    <xf numFmtId="263" fontId="4" fillId="0" borderId="0"/>
    <xf numFmtId="0" fontId="38" fillId="0" borderId="0"/>
    <xf numFmtId="264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65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65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61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66" fontId="4" fillId="0" borderId="11" applyFill="0" applyAlignment="0" applyProtection="0">
      <alignment horizontal="center"/>
    </xf>
    <xf numFmtId="0" fontId="31" fillId="0" borderId="8"/>
    <xf numFmtId="173" fontId="83" fillId="0" borderId="38" applyBorder="0"/>
    <xf numFmtId="267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32" fontId="4" fillId="0" borderId="0" applyAlignment="0" applyProtection="0"/>
    <xf numFmtId="181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61" fontId="4" fillId="0" borderId="0" applyFont="0" applyFill="0" applyBorder="0" applyAlignment="0">
      <alignment horizontal="right"/>
    </xf>
    <xf numFmtId="249" fontId="37" fillId="0" borderId="8"/>
    <xf numFmtId="170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9" fontId="38" fillId="0" borderId="0" applyFont="0" applyFill="0" applyBorder="0" applyAlignment="0" applyProtection="0"/>
    <xf numFmtId="268" fontId="4" fillId="0" borderId="0" applyFont="0" applyFill="0" applyBorder="0" applyProtection="0">
      <alignment horizontal="left"/>
    </xf>
    <xf numFmtId="269" fontId="4" fillId="0" borderId="0" applyFont="0" applyFill="0" applyBorder="0" applyProtection="0">
      <alignment horizontal="left"/>
    </xf>
    <xf numFmtId="270" fontId="4" fillId="0" borderId="0" applyFont="0" applyFill="0" applyBorder="0" applyProtection="0">
      <alignment horizontal="left"/>
    </xf>
    <xf numFmtId="271" fontId="4" fillId="36" borderId="0" applyFont="0" applyFill="0" applyBorder="0" applyAlignment="0" applyProtection="0">
      <alignment horizontal="center" vertical="top"/>
    </xf>
    <xf numFmtId="192" fontId="6" fillId="0" borderId="0"/>
    <xf numFmtId="205" fontId="35" fillId="0" borderId="0"/>
    <xf numFmtId="272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170" fontId="31" fillId="0" borderId="0">
      <alignment horizontal="right"/>
    </xf>
    <xf numFmtId="170" fontId="31" fillId="0" borderId="0">
      <alignment horizontal="right"/>
    </xf>
    <xf numFmtId="170" fontId="31" fillId="0" borderId="0">
      <alignment horizontal="right"/>
    </xf>
    <xf numFmtId="17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73" fontId="4" fillId="0" borderId="0" applyFill="0" applyBorder="0" applyAlignment="0"/>
    <xf numFmtId="274" fontId="4" fillId="0" borderId="0" applyFill="0" applyBorder="0" applyAlignment="0"/>
    <xf numFmtId="197" fontId="4" fillId="0" borderId="0" applyFill="0" applyBorder="0" applyAlignment="0"/>
    <xf numFmtId="187" fontId="4" fillId="0" borderId="0" applyFill="0" applyBorder="0" applyAlignment="0"/>
    <xf numFmtId="190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4" fillId="0" borderId="0" applyAlignment="0" applyProtection="0"/>
    <xf numFmtId="266" fontId="4" fillId="37" borderId="0" applyNumberFormat="0" applyFont="0" applyBorder="0" applyAlignment="0"/>
    <xf numFmtId="0" fontId="68" fillId="0" borderId="0" applyFont="0" applyFill="0" applyBorder="0" applyAlignment="0" applyProtection="0"/>
    <xf numFmtId="275" fontId="4" fillId="0" borderId="40"/>
    <xf numFmtId="0" fontId="10" fillId="0" borderId="0" applyNumberFormat="0" applyBorder="0" applyAlignment="0" applyProtection="0"/>
    <xf numFmtId="266" fontId="4" fillId="0" borderId="0"/>
    <xf numFmtId="166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66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61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73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76" fontId="104" fillId="32" borderId="0" applyFont="0" applyFill="0" applyBorder="0" applyAlignment="0" applyProtection="0"/>
    <xf numFmtId="37" fontId="4" fillId="0" borderId="0"/>
    <xf numFmtId="173" fontId="4" fillId="0" borderId="0"/>
    <xf numFmtId="277" fontId="104" fillId="0" borderId="0" applyFont="0" applyFill="0" applyBorder="0" applyAlignment="0" applyProtection="0">
      <alignment horizontal="left" indent="1"/>
    </xf>
    <xf numFmtId="39" fontId="4" fillId="14" borderId="0"/>
    <xf numFmtId="168" fontId="105" fillId="0" borderId="0" applyFont="0" applyBorder="0">
      <alignment horizontal="right"/>
    </xf>
    <xf numFmtId="168" fontId="15" fillId="0" borderId="8"/>
    <xf numFmtId="273" fontId="4" fillId="0" borderId="0" applyFont="0" applyFill="0" applyBorder="0" applyAlignment="0" applyProtection="0"/>
    <xf numFmtId="185" fontId="106" fillId="0" borderId="0" applyFont="0" applyFill="0" applyBorder="0" applyAlignment="0" applyProtection="0"/>
    <xf numFmtId="185" fontId="15" fillId="0" borderId="8"/>
    <xf numFmtId="173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81" fontId="4" fillId="0" borderId="8"/>
    <xf numFmtId="170" fontId="5" fillId="0" borderId="0"/>
    <xf numFmtId="178" fontId="35" fillId="0" borderId="0" applyFont="0" applyFill="0" applyBorder="0" applyAlignment="0" applyProtection="0"/>
    <xf numFmtId="278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9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74" fontId="4" fillId="0" borderId="0" applyFont="0" applyFill="0" applyBorder="0" applyAlignment="0" applyProtection="0"/>
    <xf numFmtId="173" fontId="4" fillId="0" borderId="0"/>
    <xf numFmtId="3" fontId="29" fillId="0" borderId="0" applyFont="0" applyFill="0" applyBorder="0" applyAlignment="0" applyProtection="0"/>
    <xf numFmtId="255" fontId="108" fillId="0" borderId="0"/>
    <xf numFmtId="0" fontId="109" fillId="0" borderId="0"/>
    <xf numFmtId="280" fontId="108" fillId="0" borderId="0"/>
    <xf numFmtId="260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73" fontId="111" fillId="0" borderId="0"/>
    <xf numFmtId="281" fontId="94" fillId="0" borderId="0" applyFill="0" applyBorder="0">
      <alignment horizontal="left"/>
    </xf>
    <xf numFmtId="282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83" fontId="4" fillId="0" borderId="43" applyFont="0" applyFill="0" applyBorder="0" applyAlignment="0" applyProtection="0"/>
    <xf numFmtId="228" fontId="4" fillId="0" borderId="8"/>
    <xf numFmtId="274" fontId="4" fillId="0" borderId="0" applyFont="0" applyFill="0" applyBorder="0" applyAlignment="0" applyProtection="0"/>
    <xf numFmtId="251" fontId="6" fillId="0" borderId="0" applyFont="0" applyFill="0" applyBorder="0" applyAlignment="0"/>
    <xf numFmtId="196" fontId="4" fillId="0" borderId="8"/>
    <xf numFmtId="192" fontId="4" fillId="0" borderId="0" applyFont="0" applyFill="0" applyBorder="0" applyAlignment="0" applyProtection="0"/>
    <xf numFmtId="284" fontId="116" fillId="0" borderId="0" applyFont="0" applyBorder="0"/>
    <xf numFmtId="169" fontId="15" fillId="0" borderId="8"/>
    <xf numFmtId="285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286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165" fontId="15" fillId="0" borderId="8"/>
    <xf numFmtId="18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7" fontId="4" fillId="0" borderId="0" applyFont="0" applyFill="0" applyBorder="0" applyAlignment="0" applyProtection="0"/>
    <xf numFmtId="288" fontId="6" fillId="0" borderId="0" applyFont="0" applyFill="0" applyBorder="0" applyAlignment="0" applyProtection="0"/>
    <xf numFmtId="166" fontId="56" fillId="14" borderId="0" applyFont="0" applyFill="0" applyBorder="0" applyAlignment="0" applyProtection="0"/>
    <xf numFmtId="273" fontId="4" fillId="0" borderId="0" applyFont="0" applyFill="0" applyBorder="0" applyAlignment="0" applyProtection="0"/>
    <xf numFmtId="246" fontId="6" fillId="0" borderId="0" applyFont="0" applyFill="0" applyBorder="0" applyAlignment="0" applyProtection="0"/>
    <xf numFmtId="249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30" fontId="38" fillId="0" borderId="0" applyFont="0" applyFill="0" applyBorder="0" applyAlignment="0" applyProtection="0"/>
    <xf numFmtId="182" fontId="4" fillId="0" borderId="0" applyProtection="0">
      <alignment horizontal="right"/>
    </xf>
    <xf numFmtId="182" fontId="24" fillId="0" borderId="0" applyProtection="0"/>
    <xf numFmtId="15" fontId="118" fillId="0" borderId="8" applyBorder="0">
      <alignment horizontal="center"/>
    </xf>
    <xf numFmtId="289" fontId="4" fillId="0" borderId="0" applyFont="0" applyFill="0" applyBorder="0" applyProtection="0"/>
    <xf numFmtId="290" fontId="4" fillId="0" borderId="0" applyFont="0" applyFill="0" applyBorder="0" applyAlignment="0" applyProtection="0"/>
    <xf numFmtId="15" fontId="24" fillId="0" borderId="0" applyFill="0" applyBorder="0" applyAlignment="0"/>
    <xf numFmtId="280" fontId="4" fillId="0" borderId="0" applyFont="0" applyFill="0" applyBorder="0" applyAlignment="0" applyProtection="0"/>
    <xf numFmtId="291" fontId="4" fillId="0" borderId="0" applyFont="0" applyFill="0" applyBorder="0" applyProtection="0"/>
    <xf numFmtId="292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8" fontId="6" fillId="3" borderId="44" applyFont="0" applyFill="0" applyBorder="0" applyAlignment="0" applyProtection="0"/>
    <xf numFmtId="295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296" fontId="4" fillId="3" borderId="0" applyFont="0" applyFill="0" applyBorder="0" applyAlignment="0" applyProtection="0"/>
    <xf numFmtId="17" fontId="24" fillId="0" borderId="0" applyFill="0" applyBorder="0">
      <alignment horizontal="right"/>
    </xf>
    <xf numFmtId="297" fontId="24" fillId="0" borderId="11"/>
    <xf numFmtId="298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300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8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301" fontId="4" fillId="0" borderId="0" applyFont="0" applyFill="0" applyBorder="0" applyAlignment="0" applyProtection="0"/>
    <xf numFmtId="302" fontId="4" fillId="0" borderId="0" applyFont="0" applyFill="0" applyBorder="0" applyAlignment="0" applyProtection="0"/>
    <xf numFmtId="303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304" fontId="90" fillId="0" borderId="0"/>
    <xf numFmtId="165" fontId="4" fillId="0" borderId="0"/>
    <xf numFmtId="305" fontId="74" fillId="0" borderId="0" applyFont="0" applyFill="0" applyBorder="0" applyAlignment="0" applyProtection="0"/>
    <xf numFmtId="306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167" fontId="121" fillId="0" borderId="0" applyFill="0" applyBorder="0" applyAlignment="0" applyProtection="0"/>
    <xf numFmtId="261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81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81" fontId="123" fillId="0" borderId="47" applyNumberFormat="0" applyAlignment="0" applyProtection="0">
      <alignment vertical="top"/>
    </xf>
    <xf numFmtId="213" fontId="124" fillId="0" borderId="0">
      <protection locked="0"/>
    </xf>
    <xf numFmtId="213" fontId="124" fillId="0" borderId="0">
      <protection locked="0"/>
    </xf>
    <xf numFmtId="282" fontId="27" fillId="0" borderId="48" applyNumberFormat="0" applyFont="0" applyFill="0" applyAlignment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66" fontId="32" fillId="0" borderId="0" applyFont="0" applyFill="0" applyBorder="0" applyAlignment="0" applyProtection="0">
      <alignment horizontal="right"/>
    </xf>
    <xf numFmtId="244" fontId="35" fillId="0" borderId="0" applyFont="0" applyFill="0" applyBorder="0" applyProtection="0">
      <alignment horizontal="left"/>
      <protection locked="0"/>
    </xf>
    <xf numFmtId="245" fontId="35" fillId="0" borderId="0" applyFont="0" applyFill="0" applyBorder="0" applyProtection="0">
      <alignment horizontal="left"/>
      <protection locked="0"/>
    </xf>
    <xf numFmtId="260" fontId="125" fillId="0" borderId="0" applyFill="0" applyBorder="0" applyAlignment="0" applyProtection="0"/>
    <xf numFmtId="29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247" fontId="6" fillId="0" borderId="0" applyFont="0" applyFill="0" applyBorder="0" applyAlignment="0" applyProtection="0"/>
    <xf numFmtId="307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7" fontId="4" fillId="0" borderId="0">
      <alignment horizontal="right" vertical="top"/>
    </xf>
    <xf numFmtId="217" fontId="4" fillId="0" borderId="0">
      <alignment horizontal="right" vertical="top"/>
    </xf>
    <xf numFmtId="272" fontId="4" fillId="0" borderId="0" applyFill="0" applyBorder="0">
      <alignment horizontal="right" vertical="top"/>
    </xf>
    <xf numFmtId="249" fontId="4" fillId="0" borderId="0" applyFill="0" applyBorder="0">
      <alignment horizontal="right" vertical="top"/>
    </xf>
    <xf numFmtId="215" fontId="4" fillId="0" borderId="0" applyFill="0" applyBorder="0">
      <alignment horizontal="right" vertical="top"/>
    </xf>
    <xf numFmtId="221" fontId="4" fillId="0" borderId="0" applyFill="0" applyBorder="0">
      <alignment horizontal="right" vertical="top"/>
    </xf>
    <xf numFmtId="0" fontId="126" fillId="0" borderId="0">
      <alignment horizontal="center" wrapText="1"/>
    </xf>
    <xf numFmtId="221" fontId="94" fillId="0" borderId="0" applyFill="0" applyBorder="0">
      <alignment vertical="top"/>
    </xf>
    <xf numFmtId="221" fontId="99" fillId="0" borderId="0" applyFill="0" applyBorder="0" applyProtection="0">
      <alignment vertical="top"/>
    </xf>
    <xf numFmtId="221" fontId="127" fillId="0" borderId="0">
      <alignment vertical="top"/>
    </xf>
    <xf numFmtId="168" fontId="128" fillId="0" borderId="0" applyFill="0" applyBorder="0" applyAlignment="0" applyProtection="0">
      <alignment horizontal="right" vertical="top"/>
    </xf>
    <xf numFmtId="221" fontId="30" fillId="0" borderId="0"/>
    <xf numFmtId="0" fontId="128" fillId="0" borderId="0" applyFill="0" applyBorder="0">
      <alignment horizontal="left" vertical="top"/>
    </xf>
    <xf numFmtId="275" fontId="74" fillId="41" borderId="13">
      <alignment horizontal="left"/>
    </xf>
    <xf numFmtId="309" fontId="119" fillId="0" borderId="0">
      <protection locked="0"/>
    </xf>
    <xf numFmtId="190" fontId="119" fillId="0" borderId="0">
      <protection locked="0"/>
    </xf>
    <xf numFmtId="250" fontId="90" fillId="0" borderId="0"/>
    <xf numFmtId="256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1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28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85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7" fontId="134" fillId="0" borderId="0" applyAlignment="0">
      <alignment horizontal="left"/>
      <protection locked="0"/>
    </xf>
    <xf numFmtId="241" fontId="4" fillId="0" borderId="0"/>
    <xf numFmtId="242" fontId="4" fillId="0" borderId="0"/>
    <xf numFmtId="0" fontId="35" fillId="0" borderId="0"/>
    <xf numFmtId="313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74" fontId="135" fillId="0" borderId="0" applyFill="0" applyBorder="0" applyAlignment="0" applyProtection="0"/>
    <xf numFmtId="0" fontId="4" fillId="0" borderId="0"/>
    <xf numFmtId="177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10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53" fontId="146" fillId="9" borderId="0"/>
    <xf numFmtId="253" fontId="146" fillId="16" borderId="0"/>
    <xf numFmtId="253" fontId="146" fillId="2" borderId="0"/>
    <xf numFmtId="192" fontId="35" fillId="0" borderId="0" applyFont="0" applyFill="0" applyBorder="0" applyAlignment="0" applyProtection="0"/>
    <xf numFmtId="192" fontId="6" fillId="0" borderId="0" applyFont="0" applyFill="0" applyBorder="0" applyAlignment="0" applyProtection="0"/>
    <xf numFmtId="282" fontId="147" fillId="43" borderId="0" applyNumberFormat="0" applyBorder="0" applyAlignment="0"/>
    <xf numFmtId="181" fontId="148" fillId="0" borderId="0" applyAlignment="0" applyProtection="0"/>
    <xf numFmtId="173" fontId="149" fillId="0" borderId="0" applyProtection="0">
      <alignment horizontal="right"/>
    </xf>
    <xf numFmtId="173" fontId="8" fillId="0" borderId="0" applyFill="0" applyBorder="0" applyAlignment="0" applyProtection="0"/>
    <xf numFmtId="262" fontId="148" fillId="0" borderId="0" applyFill="0" applyBorder="0" applyAlignment="0" applyProtection="0"/>
    <xf numFmtId="0" fontId="59" fillId="0" borderId="0">
      <alignment horizontal="center"/>
    </xf>
    <xf numFmtId="166" fontId="4" fillId="28" borderId="0" applyNumberFormat="0" applyFont="0" applyAlignment="0" applyProtection="0">
      <alignment horizontal="right"/>
      <protection locked="0"/>
    </xf>
    <xf numFmtId="282" fontId="8" fillId="0" borderId="0"/>
    <xf numFmtId="38" fontId="32" fillId="0" borderId="0" applyFont="0" applyFill="0" applyBorder="0" applyAlignment="0" applyProtection="0">
      <protection locked="0"/>
    </xf>
    <xf numFmtId="314" fontId="4" fillId="0" borderId="0" applyFont="0" applyFill="0" applyBorder="0" applyProtection="0">
      <alignment horizontal="left"/>
    </xf>
    <xf numFmtId="244" fontId="4" fillId="0" borderId="0" applyFont="0" applyFill="0" applyBorder="0" applyProtection="0">
      <alignment horizontal="left"/>
    </xf>
    <xf numFmtId="245" fontId="4" fillId="0" borderId="0" applyFont="0" applyFill="0" applyBorder="0" applyProtection="0">
      <alignment horizontal="left"/>
    </xf>
    <xf numFmtId="246" fontId="4" fillId="0" borderId="0" applyFont="0" applyFill="0" applyBorder="0" applyProtection="0">
      <alignment horizontal="left"/>
    </xf>
    <xf numFmtId="182" fontId="27" fillId="0" borderId="0"/>
    <xf numFmtId="181" fontId="150" fillId="13" borderId="0">
      <protection locked="0"/>
    </xf>
    <xf numFmtId="174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82" fontId="150" fillId="13" borderId="0" applyBorder="0">
      <alignment horizontal="right"/>
      <protection locked="0"/>
    </xf>
    <xf numFmtId="183" fontId="149" fillId="3" borderId="0"/>
    <xf numFmtId="166" fontId="4" fillId="3" borderId="0" applyFont="0" applyBorder="0" applyAlignment="0" applyProtection="0">
      <protection locked="0"/>
    </xf>
    <xf numFmtId="228" fontId="6" fillId="3" borderId="0" applyFont="0" applyBorder="0" applyAlignment="0" applyProtection="0">
      <protection locked="0"/>
    </xf>
    <xf numFmtId="256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9" fontId="149" fillId="3" borderId="0"/>
    <xf numFmtId="228" fontId="4" fillId="3" borderId="0">
      <protection locked="0"/>
    </xf>
    <xf numFmtId="37" fontId="149" fillId="3" borderId="0"/>
    <xf numFmtId="173" fontId="149" fillId="3" borderId="0"/>
    <xf numFmtId="0" fontId="3" fillId="2" borderId="0" applyNumberFormat="0"/>
    <xf numFmtId="313" fontId="4" fillId="3" borderId="0" applyFont="0" applyBorder="0" applyAlignment="0">
      <protection locked="0"/>
    </xf>
    <xf numFmtId="10" fontId="4" fillId="3" borderId="0">
      <protection locked="0"/>
    </xf>
    <xf numFmtId="281" fontId="6" fillId="3" borderId="0" applyFont="0" applyBorder="0" applyAlignment="0">
      <protection locked="0"/>
    </xf>
    <xf numFmtId="228" fontId="93" fillId="3" borderId="0" applyNumberFormat="0" applyBorder="0" applyAlignment="0">
      <protection locked="0"/>
    </xf>
    <xf numFmtId="315" fontId="149" fillId="0" borderId="0" applyProtection="0">
      <alignment horizontal="right"/>
    </xf>
    <xf numFmtId="313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16" fontId="4" fillId="0" borderId="0" applyFill="0" applyBorder="0" applyProtection="0">
      <alignment vertical="center"/>
    </xf>
    <xf numFmtId="249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7" fontId="4" fillId="0" borderId="0" applyFill="0" applyBorder="0" applyProtection="0">
      <alignment vertical="center"/>
    </xf>
    <xf numFmtId="318" fontId="149" fillId="3" borderId="49" applyProtection="0"/>
    <xf numFmtId="319" fontId="4" fillId="0" borderId="0" applyFill="0" applyBorder="0" applyProtection="0">
      <alignment vertical="center"/>
    </xf>
    <xf numFmtId="228" fontId="4" fillId="3" borderId="0" applyNumberFormat="0" applyFont="0" applyBorder="0" applyAlignment="0" applyProtection="0">
      <alignment horizontal="center"/>
      <protection locked="0"/>
    </xf>
    <xf numFmtId="179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20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82" fontId="6" fillId="0" borderId="0" applyFont="0" applyFill="0" applyAlignment="0" applyProtection="0"/>
    <xf numFmtId="260" fontId="133" fillId="0" borderId="0" applyFill="0" applyBorder="0" applyAlignment="0" applyProtection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21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7" fontId="56" fillId="0" borderId="0" applyFont="0" applyFill="0" applyBorder="0" applyAlignment="0" applyProtection="0"/>
    <xf numFmtId="322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2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79" fontId="4" fillId="0" borderId="51" applyFont="0" applyFill="0" applyBorder="0" applyAlignment="0" applyProtection="0">
      <alignment horizontal="center"/>
    </xf>
    <xf numFmtId="324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23" fontId="66" fillId="0" borderId="0" applyFont="0" applyFill="0" applyBorder="0" applyAlignment="0" applyProtection="0"/>
    <xf numFmtId="288" fontId="4" fillId="0" borderId="0" applyFont="0" applyFill="0" applyBorder="0" applyAlignment="0" applyProtection="0"/>
    <xf numFmtId="325" fontId="72" fillId="0" borderId="0" applyFont="0" applyFill="0" applyBorder="0" applyAlignment="0" applyProtection="0"/>
    <xf numFmtId="326" fontId="72" fillId="0" borderId="0" applyFont="0" applyFill="0" applyBorder="0" applyAlignment="0" applyProtection="0"/>
    <xf numFmtId="319" fontId="4" fillId="0" borderId="0" applyFont="0" applyFill="0" applyBorder="0" applyAlignment="0" applyProtection="0"/>
    <xf numFmtId="316" fontId="4" fillId="0" borderId="0" applyFont="0" applyFill="0" applyBorder="0" applyAlignment="0" applyProtection="0"/>
    <xf numFmtId="3" fontId="38" fillId="0" borderId="0"/>
    <xf numFmtId="241" fontId="4" fillId="45" borderId="0" applyFill="0" applyBorder="0" applyAlignment="0" applyProtection="0">
      <alignment horizontal="center"/>
      <protection locked="0"/>
    </xf>
    <xf numFmtId="3" fontId="38" fillId="0" borderId="0"/>
    <xf numFmtId="327" fontId="4" fillId="0" borderId="0" applyFont="0" applyFill="0" applyBorder="0" applyAlignment="0" applyProtection="0"/>
    <xf numFmtId="317" fontId="4" fillId="0" borderId="0" applyFont="0" applyFill="0" applyBorder="0" applyAlignment="0" applyProtection="0"/>
    <xf numFmtId="191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7" fontId="4" fillId="3" borderId="0">
      <alignment horizontal="center"/>
    </xf>
    <xf numFmtId="299" fontId="4" fillId="0" borderId="0"/>
    <xf numFmtId="0" fontId="107" fillId="0" borderId="0" applyFont="0" applyFill="0" applyBorder="0" applyAlignment="0" applyProtection="0">
      <alignment horizontal="right"/>
    </xf>
    <xf numFmtId="328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25" fontId="32" fillId="0" borderId="0" applyFont="0" applyFill="0" applyBorder="0" applyAlignment="0" applyProtection="0"/>
    <xf numFmtId="288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81" fontId="6" fillId="3" borderId="1" applyProtection="0">
      <alignment horizontal="right"/>
    </xf>
    <xf numFmtId="279" fontId="4" fillId="14" borderId="0"/>
    <xf numFmtId="249" fontId="38" fillId="0" borderId="0"/>
    <xf numFmtId="185" fontId="38" fillId="0" borderId="0"/>
    <xf numFmtId="170" fontId="38" fillId="0" borderId="0"/>
    <xf numFmtId="203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21" fontId="4" fillId="0" borderId="0" applyFont="0" applyFill="0" applyBorder="0" applyAlignment="0" applyProtection="0"/>
    <xf numFmtId="0" fontId="56" fillId="0" borderId="0"/>
    <xf numFmtId="1" fontId="38" fillId="0" borderId="0"/>
    <xf numFmtId="183" fontId="148" fillId="0" borderId="0" applyFill="0" applyBorder="0" applyAlignment="0" applyProtection="0"/>
    <xf numFmtId="173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24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8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83" fontId="4" fillId="0" borderId="0" applyFont="0" applyFill="0" applyBorder="0" applyAlignment="0" applyProtection="0">
      <protection locked="0"/>
    </xf>
    <xf numFmtId="228" fontId="24" fillId="0" borderId="0" applyNumberFormat="0" applyFill="0" applyBorder="0" applyAlignment="0" applyProtection="0"/>
    <xf numFmtId="3" fontId="168" fillId="0" borderId="0">
      <alignment horizontal="left"/>
    </xf>
    <xf numFmtId="250" fontId="6" fillId="0" borderId="0" applyFont="0" applyFill="0" applyBorder="0" applyAlignment="0" applyProtection="0"/>
    <xf numFmtId="181" fontId="169" fillId="0" borderId="0"/>
    <xf numFmtId="173" fontId="149" fillId="3" borderId="20">
      <alignment horizontal="right"/>
    </xf>
    <xf numFmtId="321" fontId="4" fillId="0" borderId="0" applyFill="0" applyBorder="0" applyProtection="0">
      <alignment vertical="center"/>
    </xf>
    <xf numFmtId="40" fontId="24" fillId="0" borderId="0">
      <alignment horizontal="left"/>
    </xf>
    <xf numFmtId="183" fontId="35" fillId="0" borderId="0" applyFill="0" applyBorder="0" applyAlignment="0" applyProtection="0"/>
    <xf numFmtId="0" fontId="6" fillId="0" borderId="0"/>
    <xf numFmtId="228" fontId="4" fillId="0" borderId="0"/>
    <xf numFmtId="0" fontId="27" fillId="0" borderId="0" applyFont="0" applyBorder="0" applyAlignment="0"/>
    <xf numFmtId="0" fontId="6" fillId="0" borderId="0"/>
    <xf numFmtId="257" fontId="6" fillId="0" borderId="0" applyFont="0" applyFill="0" applyBorder="0" applyAlignment="0" applyProtection="0"/>
    <xf numFmtId="2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8" fontId="6" fillId="0" borderId="0" applyFont="0" applyFill="0" applyBorder="0" applyAlignment="0" applyProtection="0"/>
    <xf numFmtId="199" fontId="35" fillId="0" borderId="14" applyFont="0" applyFill="0" applyBorder="0" applyAlignment="0" applyProtection="0"/>
    <xf numFmtId="168" fontId="106" fillId="0" borderId="0" applyFont="0" applyFill="0" applyBorder="0" applyAlignment="0" applyProtection="0"/>
    <xf numFmtId="261" fontId="4" fillId="0" borderId="0" applyFill="0" applyBorder="0" applyAlignment="0" applyProtection="0"/>
    <xf numFmtId="254" fontId="6" fillId="0" borderId="0" applyFont="0" applyFill="0" applyBorder="0" applyAlignment="0" applyProtection="0"/>
    <xf numFmtId="17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20" fontId="4" fillId="0" borderId="0" applyBorder="0" applyProtection="0"/>
    <xf numFmtId="0" fontId="66" fillId="0" borderId="45"/>
    <xf numFmtId="0" fontId="6" fillId="0" borderId="0">
      <alignment horizontal="left"/>
    </xf>
    <xf numFmtId="182" fontId="171" fillId="46" borderId="0">
      <alignment horizontal="right"/>
    </xf>
    <xf numFmtId="318" fontId="4" fillId="46" borderId="0">
      <alignment horizontal="right"/>
    </xf>
    <xf numFmtId="183" fontId="171" fillId="47" borderId="0">
      <alignment horizontal="right"/>
    </xf>
    <xf numFmtId="220" fontId="4" fillId="46" borderId="0">
      <alignment horizontal="right"/>
    </xf>
    <xf numFmtId="324" fontId="4" fillId="46" borderId="0">
      <alignment horizontal="right"/>
    </xf>
    <xf numFmtId="263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73" fontId="107" fillId="0" borderId="0" applyNumberFormat="0" applyFill="0" applyBorder="0" applyAlignment="0" applyProtection="0"/>
    <xf numFmtId="181" fontId="158" fillId="0" borderId="0"/>
    <xf numFmtId="37" fontId="4" fillId="0" borderId="0" applyBorder="0">
      <protection locked="0"/>
    </xf>
    <xf numFmtId="307" fontId="4" fillId="0" borderId="0"/>
    <xf numFmtId="269" fontId="4" fillId="0" borderId="0"/>
    <xf numFmtId="308" fontId="4" fillId="0" borderId="0"/>
    <xf numFmtId="270" fontId="4" fillId="0" borderId="0"/>
    <xf numFmtId="307" fontId="4" fillId="0" borderId="0"/>
    <xf numFmtId="269" fontId="4" fillId="0" borderId="0"/>
    <xf numFmtId="10" fontId="38" fillId="0" borderId="14"/>
    <xf numFmtId="10" fontId="38" fillId="0" borderId="14"/>
    <xf numFmtId="308" fontId="4" fillId="0" borderId="0"/>
    <xf numFmtId="270" fontId="4" fillId="0" borderId="0"/>
    <xf numFmtId="165" fontId="35" fillId="0" borderId="0"/>
    <xf numFmtId="0" fontId="4" fillId="0" borderId="0"/>
    <xf numFmtId="227" fontId="35" fillId="0" borderId="0"/>
    <xf numFmtId="307" fontId="4" fillId="0" borderId="0"/>
    <xf numFmtId="269" fontId="4" fillId="0" borderId="0"/>
    <xf numFmtId="320" fontId="4" fillId="0" borderId="0"/>
    <xf numFmtId="272" fontId="4" fillId="0" borderId="0"/>
    <xf numFmtId="181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166" fontId="33" fillId="48" borderId="0" applyNumberFormat="0" applyFont="0" applyBorder="0" applyAlignment="0" applyProtection="0"/>
    <xf numFmtId="203" fontId="6" fillId="0" borderId="0" applyFill="0"/>
    <xf numFmtId="174" fontId="4" fillId="0" borderId="0"/>
    <xf numFmtId="288" fontId="4" fillId="0" borderId="0" applyFill="0" applyBorder="0"/>
    <xf numFmtId="181" fontId="60" fillId="0" borderId="0"/>
    <xf numFmtId="249" fontId="4" fillId="0" borderId="0" applyFont="0" applyFill="0" applyBorder="0" applyAlignment="0" applyProtection="0"/>
    <xf numFmtId="181" fontId="175" fillId="0" borderId="52" applyBorder="0"/>
    <xf numFmtId="181" fontId="176" fillId="0" borderId="0">
      <alignment horizontal="right"/>
    </xf>
    <xf numFmtId="0" fontId="31" fillId="0" borderId="0"/>
    <xf numFmtId="0" fontId="4" fillId="0" borderId="0"/>
    <xf numFmtId="182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8" fontId="84" fillId="3" borderId="20">
      <alignment horizontal="right"/>
    </xf>
    <xf numFmtId="181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74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8" fontId="6" fillId="14" borderId="14" applyFill="0" applyBorder="0" applyAlignment="0" applyProtection="0"/>
    <xf numFmtId="313" fontId="153" fillId="0" borderId="0" applyFont="0" applyFill="0" applyBorder="0" applyAlignment="0" applyProtection="0"/>
    <xf numFmtId="287" fontId="4" fillId="0" borderId="0" applyFont="0" applyFill="0" applyBorder="0" applyAlignment="0" applyProtection="0"/>
    <xf numFmtId="242" fontId="153" fillId="0" borderId="0" applyFill="0" applyBorder="0" applyAlignment="0" applyProtection="0"/>
    <xf numFmtId="181" fontId="15" fillId="0" borderId="8"/>
    <xf numFmtId="281" fontId="6" fillId="0" borderId="0" applyFont="0" applyFill="0" applyBorder="0" applyAlignment="0"/>
    <xf numFmtId="240" fontId="4" fillId="0" borderId="0" applyFont="0" applyFill="0" applyBorder="0" applyAlignment="0" applyProtection="0"/>
    <xf numFmtId="232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204" fontId="153" fillId="0" borderId="0" applyFill="0" applyBorder="0" applyAlignment="0" applyProtection="0"/>
    <xf numFmtId="206" fontId="153" fillId="16" borderId="0" applyFont="0" applyFill="0" applyBorder="0" applyAlignment="0" applyProtection="0"/>
    <xf numFmtId="228" fontId="6" fillId="3" borderId="0" applyFont="0" applyFill="0" applyBorder="0" applyAlignment="0" applyProtection="0"/>
    <xf numFmtId="9" fontId="35" fillId="0" borderId="0"/>
    <xf numFmtId="10" fontId="35" fillId="0" borderId="0"/>
    <xf numFmtId="177" fontId="6" fillId="0" borderId="0" applyFont="0" applyFill="0" applyBorder="0" applyProtection="0">
      <alignment horizontal="right"/>
    </xf>
    <xf numFmtId="319" fontId="4" fillId="49" borderId="0">
      <alignment horizontal="right"/>
    </xf>
    <xf numFmtId="223" fontId="4" fillId="0" borderId="0" applyFont="0" applyFill="0" applyBorder="0" applyProtection="0">
      <alignment horizontal="right"/>
    </xf>
    <xf numFmtId="327" fontId="4" fillId="0" borderId="0" applyFill="0" applyBorder="0" applyAlignment="0" applyProtection="0"/>
    <xf numFmtId="181" fontId="153" fillId="0" borderId="0" applyFill="0" applyBorder="0" applyProtection="0">
      <alignment horizontal="right"/>
    </xf>
    <xf numFmtId="181" fontId="84" fillId="0" borderId="0" applyFill="0" applyBorder="0" applyProtection="0">
      <alignment horizontal="right"/>
    </xf>
    <xf numFmtId="240" fontId="4" fillId="0" borderId="0" applyFont="0" applyFill="0" applyBorder="0" applyAlignment="0" applyProtection="0"/>
    <xf numFmtId="311" fontId="108" fillId="0" borderId="0">
      <alignment horizontal="right"/>
    </xf>
    <xf numFmtId="181" fontId="106" fillId="0" borderId="0"/>
    <xf numFmtId="314" fontId="6" fillId="0" borderId="0"/>
    <xf numFmtId="10" fontId="106" fillId="0" borderId="0">
      <protection locked="0"/>
    </xf>
    <xf numFmtId="261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74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8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32" fontId="178" fillId="0" borderId="0" applyFill="0" applyBorder="0" applyProtection="0"/>
    <xf numFmtId="166" fontId="32" fillId="0" borderId="0" applyFont="0" applyFill="0" applyBorder="0" applyAlignment="0" applyProtection="0"/>
    <xf numFmtId="181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9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15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228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16" fontId="6" fillId="13" borderId="0" applyNumberFormat="0" applyFont="0" applyBorder="0" applyAlignment="0" applyProtection="0">
      <alignment horizontal="center"/>
      <protection locked="0"/>
    </xf>
    <xf numFmtId="203" fontId="14" fillId="0" borderId="0"/>
    <xf numFmtId="271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85" fontId="183" fillId="0" borderId="0">
      <alignment horizontal="right"/>
    </xf>
    <xf numFmtId="0" fontId="184" fillId="0" borderId="0" applyProtection="0"/>
    <xf numFmtId="10" fontId="31" fillId="0" borderId="17"/>
    <xf numFmtId="281" fontId="117" fillId="0" borderId="0"/>
    <xf numFmtId="317" fontId="6" fillId="0" borderId="0" applyFont="0" applyFill="0" applyBorder="0" applyProtection="0">
      <alignment horizontal="right"/>
    </xf>
    <xf numFmtId="293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7" fontId="4" fillId="0" borderId="0">
      <alignment horizontal="right"/>
      <protection locked="0"/>
    </xf>
    <xf numFmtId="263" fontId="6" fillId="0" borderId="0" applyFill="0" applyBorder="0" applyAlignment="0" applyProtection="0"/>
    <xf numFmtId="187" fontId="4" fillId="0" borderId="53" applyNumberFormat="0" applyFont="0" applyFill="0" applyAlignment="0" applyProtection="0"/>
    <xf numFmtId="228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8" fontId="68" fillId="0" borderId="0" applyFont="0" applyFill="0" applyBorder="0" applyAlignment="0" applyProtection="0"/>
    <xf numFmtId="0" fontId="4" fillId="0" borderId="0">
      <alignment horizontal="right"/>
    </xf>
    <xf numFmtId="223" fontId="4" fillId="0" borderId="0" applyProtection="0">
      <alignment horizontal="right"/>
    </xf>
    <xf numFmtId="240" fontId="6" fillId="0" borderId="0" applyProtection="0">
      <alignment horizontal="right"/>
    </xf>
    <xf numFmtId="185" fontId="4" fillId="0" borderId="0" applyProtection="0">
      <alignment horizontal="right"/>
    </xf>
    <xf numFmtId="244" fontId="4" fillId="0" borderId="0" applyProtection="0">
      <alignment horizontal="right"/>
    </xf>
    <xf numFmtId="245" fontId="4" fillId="0" borderId="0" applyProtection="0">
      <alignment horizontal="right"/>
    </xf>
    <xf numFmtId="246" fontId="4" fillId="0" borderId="0" applyProtection="0">
      <alignment horizontal="right"/>
    </xf>
    <xf numFmtId="247" fontId="4" fillId="0" borderId="0" applyProtection="0">
      <alignment horizontal="right"/>
    </xf>
    <xf numFmtId="198" fontId="4" fillId="0" borderId="0" applyProtection="0">
      <alignment horizontal="right"/>
    </xf>
    <xf numFmtId="207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75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8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85" fontId="31" fillId="0" borderId="8">
      <alignment horizontal="right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173" fontId="74" fillId="0" borderId="0"/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73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73" fontId="213" fillId="0" borderId="0">
      <protection locked="0"/>
    </xf>
    <xf numFmtId="0" fontId="15" fillId="0" borderId="0" applyFill="0" applyBorder="0" applyProtection="0">
      <alignment horizontal="left"/>
    </xf>
    <xf numFmtId="173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9" fontId="6" fillId="0" borderId="0" applyFont="0" applyFill="0" applyBorder="0" applyAlignment="0" applyProtection="0"/>
    <xf numFmtId="289" fontId="6" fillId="0" borderId="0" applyFont="0" applyFill="0" applyBorder="0" applyAlignment="0" applyProtection="0"/>
    <xf numFmtId="173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90" fontId="4" fillId="0" borderId="0">
      <alignment horizontal="center"/>
    </xf>
    <xf numFmtId="14" fontId="44" fillId="16" borderId="0" applyBorder="0" applyAlignment="0" applyProtection="0"/>
    <xf numFmtId="319" fontId="6" fillId="16" borderId="0" applyBorder="0" applyAlignment="0" applyProtection="0"/>
    <xf numFmtId="320" fontId="6" fillId="0" borderId="0">
      <alignment horizontal="center"/>
    </xf>
    <xf numFmtId="167" fontId="218" fillId="0" borderId="0" applyFill="0" applyBorder="0" applyAlignment="0" applyProtection="0"/>
    <xf numFmtId="0" fontId="55" fillId="0" borderId="11" applyNumberFormat="0" applyFill="0" applyAlignment="0" applyProtection="0"/>
    <xf numFmtId="166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200" fontId="35" fillId="0" borderId="0" applyFont="0" applyFill="0" applyBorder="0" applyAlignment="0" applyProtection="0"/>
    <xf numFmtId="173" fontId="221" fillId="0" borderId="0">
      <alignment horizontal="left"/>
    </xf>
    <xf numFmtId="0" fontId="161" fillId="0" borderId="0" applyFont="0">
      <alignment horizontal="centerContinuous"/>
    </xf>
    <xf numFmtId="185" fontId="182" fillId="0" borderId="58">
      <alignment horizontal="right"/>
    </xf>
    <xf numFmtId="249" fontId="38" fillId="0" borderId="8"/>
    <xf numFmtId="185" fontId="38" fillId="0" borderId="8"/>
    <xf numFmtId="170" fontId="38" fillId="0" borderId="8"/>
    <xf numFmtId="0" fontId="222" fillId="0" borderId="30"/>
    <xf numFmtId="0" fontId="35" fillId="0" borderId="0">
      <alignment horizontal="center"/>
    </xf>
    <xf numFmtId="266" fontId="4" fillId="24" borderId="0"/>
    <xf numFmtId="266" fontId="4" fillId="0" borderId="0">
      <protection locked="0"/>
    </xf>
    <xf numFmtId="180" fontId="6" fillId="35" borderId="0" applyNumberFormat="0" applyBorder="0" applyAlignment="0" applyProtection="0"/>
    <xf numFmtId="0" fontId="6" fillId="0" borderId="0"/>
    <xf numFmtId="187" fontId="60" fillId="0" borderId="0" applyFill="0" applyBorder="0" applyProtection="0"/>
    <xf numFmtId="12" fontId="6" fillId="0" borderId="0" applyFont="0" applyFill="0" applyBorder="0" applyProtection="0">
      <alignment horizontal="right"/>
    </xf>
    <xf numFmtId="294" fontId="6" fillId="55" borderId="0" applyFont="0" applyFill="0" applyBorder="0" applyProtection="0">
      <alignment horizontal="right"/>
    </xf>
    <xf numFmtId="228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82" fontId="224" fillId="0" borderId="52" applyBorder="0"/>
    <xf numFmtId="318" fontId="6" fillId="0" borderId="0"/>
    <xf numFmtId="0" fontId="225" fillId="0" borderId="0"/>
    <xf numFmtId="0" fontId="189" fillId="0" borderId="0"/>
    <xf numFmtId="0" fontId="226" fillId="0" borderId="0"/>
    <xf numFmtId="282" fontId="15" fillId="0" borderId="0"/>
    <xf numFmtId="0" fontId="24" fillId="0" borderId="0"/>
    <xf numFmtId="284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9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7" fontId="6" fillId="0" borderId="58">
      <protection locked="0"/>
    </xf>
    <xf numFmtId="228" fontId="4" fillId="0" borderId="0" applyFill="0" applyBorder="0" applyProtection="0"/>
    <xf numFmtId="251" fontId="4" fillId="32" borderId="17">
      <alignment horizontal="center"/>
    </xf>
    <xf numFmtId="251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8" fontId="6" fillId="57" borderId="0" applyNumberFormat="0" applyFont="0" applyBorder="0" applyAlignment="0" applyProtection="0"/>
    <xf numFmtId="0" fontId="6" fillId="0" borderId="0" applyBorder="0" applyProtection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9" fontId="4" fillId="0" borderId="0" applyFill="0" applyBorder="0" applyAlignment="0"/>
    <xf numFmtId="209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12" fontId="6" fillId="0" borderId="0" applyFill="0" applyBorder="0" applyAlignment="0" applyProtection="0">
      <alignment horizontal="right"/>
    </xf>
    <xf numFmtId="307" fontId="6" fillId="0" borderId="0" applyFont="0" applyFill="0" applyBorder="0" applyAlignment="0" applyProtection="0"/>
    <xf numFmtId="209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14" fontId="6" fillId="0" borderId="0"/>
    <xf numFmtId="190" fontId="4" fillId="0" borderId="0" applyFont="0" applyFill="0" applyBorder="0" applyAlignment="0" applyProtection="0"/>
    <xf numFmtId="258" fontId="4" fillId="0" borderId="8"/>
    <xf numFmtId="258" fontId="4" fillId="0" borderId="0"/>
    <xf numFmtId="191" fontId="4" fillId="0" borderId="0" applyFont="0" applyFill="0" applyBorder="0" applyAlignment="0" applyProtection="0"/>
    <xf numFmtId="257" fontId="4" fillId="0" borderId="8"/>
    <xf numFmtId="257" fontId="4" fillId="0" borderId="0"/>
    <xf numFmtId="231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9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8" fontId="69" fillId="0" borderId="0" applyFill="0" applyBorder="0" applyAlignment="0" applyProtection="0"/>
    <xf numFmtId="258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8" fontId="4" fillId="0" borderId="0" applyFont="0" applyFill="0" applyBorder="0">
      <alignment horizontal="left"/>
    </xf>
    <xf numFmtId="173" fontId="6" fillId="0" borderId="8" applyNumberFormat="0" applyFont="0" applyFill="0" applyAlignment="0"/>
    <xf numFmtId="318" fontId="6" fillId="0" borderId="60" applyAlignment="0">
      <alignment horizontal="right"/>
    </xf>
    <xf numFmtId="228" fontId="102" fillId="0" borderId="60" applyAlignment="0"/>
    <xf numFmtId="321" fontId="6" fillId="0" borderId="60" applyAlignment="0"/>
    <xf numFmtId="0" fontId="102" fillId="0" borderId="60" applyAlignment="0">
      <alignment horizontal="right"/>
    </xf>
    <xf numFmtId="308" fontId="6" fillId="0" borderId="0" applyFont="0" applyFill="0" applyBorder="0" applyAlignment="0" applyProtection="0"/>
    <xf numFmtId="249" fontId="38" fillId="0" borderId="18"/>
    <xf numFmtId="185" fontId="38" fillId="0" borderId="18"/>
    <xf numFmtId="170" fontId="38" fillId="0" borderId="18"/>
    <xf numFmtId="320" fontId="6" fillId="0" borderId="0" applyFont="0" applyFill="0" applyBorder="0" applyAlignment="0" applyProtection="0"/>
    <xf numFmtId="181" fontId="38" fillId="0" borderId="11" applyNumberFormat="0" applyFont="0" applyFill="0" applyAlignment="0" applyProtection="0"/>
    <xf numFmtId="281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72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169" fontId="180" fillId="0" borderId="0" applyFont="0" applyFill="0" applyBorder="0" applyAlignment="0" applyProtection="0"/>
    <xf numFmtId="0" fontId="56" fillId="0" borderId="0" applyFont="0" applyAlignment="0"/>
    <xf numFmtId="316" fontId="6" fillId="0" borderId="0" applyFont="0" applyFill="0" applyBorder="0" applyAlignment="0" applyProtection="0"/>
    <xf numFmtId="168" fontId="4" fillId="0" borderId="0" applyFont="0" applyFill="0" applyBorder="0" applyAlignment="0" applyProtection="0"/>
    <xf numFmtId="228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92" fontId="6" fillId="0" borderId="0"/>
    <xf numFmtId="205" fontId="35" fillId="0" borderId="0"/>
    <xf numFmtId="272" fontId="35" fillId="0" borderId="0"/>
    <xf numFmtId="0" fontId="6" fillId="0" borderId="11" applyBorder="0" applyProtection="0">
      <alignment horizontal="right"/>
    </xf>
    <xf numFmtId="292" fontId="27" fillId="0" borderId="0" applyFont="0" applyFill="0" applyBorder="0" applyAlignment="0"/>
    <xf numFmtId="228" fontId="27" fillId="0" borderId="0" applyFont="0" applyFill="0" applyBorder="0" applyAlignment="0"/>
    <xf numFmtId="0" fontId="148" fillId="0" borderId="0">
      <alignment horizontal="right"/>
    </xf>
    <xf numFmtId="228" fontId="4" fillId="0" borderId="0"/>
    <xf numFmtId="228" fontId="149" fillId="3" borderId="0"/>
    <xf numFmtId="0" fontId="6" fillId="0" borderId="0" applyFont="0" applyFill="0" applyBorder="0" applyAlignment="0" applyProtection="0"/>
    <xf numFmtId="0" fontId="6" fillId="0" borderId="0"/>
    <xf numFmtId="173" fontId="3" fillId="3" borderId="20"/>
    <xf numFmtId="173" fontId="8" fillId="3" borderId="25"/>
    <xf numFmtId="203" fontId="6" fillId="0" borderId="0" applyFont="0" applyFill="0" applyBorder="0" applyAlignment="0" applyProtection="0"/>
    <xf numFmtId="274" fontId="6" fillId="0" borderId="0" applyFont="0" applyFill="0" applyBorder="0" applyAlignment="0" applyProtection="0"/>
    <xf numFmtId="179" fontId="253" fillId="0" borderId="0" applyFont="0" applyFill="0" applyBorder="0" applyAlignment="0" applyProtection="0"/>
    <xf numFmtId="174" fontId="253" fillId="0" borderId="0" applyFont="0" applyFill="0" applyBorder="0" applyAlignment="0" applyProtection="0"/>
    <xf numFmtId="173" fontId="6" fillId="0" borderId="0"/>
    <xf numFmtId="0" fontId="6" fillId="0" borderId="0"/>
    <xf numFmtId="0" fontId="6" fillId="0" borderId="0"/>
    <xf numFmtId="170" fontId="6" fillId="0" borderId="0" applyFont="0" applyFill="0" applyBorder="0" applyAlignment="0" applyProtection="0"/>
    <xf numFmtId="173" fontId="254" fillId="35" borderId="0"/>
    <xf numFmtId="173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73" fontId="3" fillId="3" borderId="20"/>
    <xf numFmtId="170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73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170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21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21" fontId="270" fillId="0" borderId="66">
      <alignment horizontal="left"/>
    </xf>
    <xf numFmtId="221" fontId="277" fillId="0" borderId="0">
      <alignment horizontal="center"/>
    </xf>
    <xf numFmtId="221" fontId="282" fillId="0" borderId="66">
      <alignment horizontal="center"/>
    </xf>
    <xf numFmtId="221" fontId="5" fillId="0" borderId="0"/>
    <xf numFmtId="221" fontId="283" fillId="0" borderId="0"/>
    <xf numFmtId="221" fontId="6" fillId="0" borderId="0"/>
    <xf numFmtId="221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8" fontId="178" fillId="0" borderId="0" applyFill="0" applyBorder="0" applyProtection="0"/>
    <xf numFmtId="228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73" fontId="6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332" fontId="35" fillId="0" borderId="0" applyFont="0" applyFill="0" applyBorder="0" applyAlignment="0" applyProtection="0"/>
    <xf numFmtId="333" fontId="60" fillId="0" borderId="0" applyFont="0" applyFill="0" applyBorder="0" applyAlignment="0" applyProtection="0"/>
    <xf numFmtId="333" fontId="6" fillId="0" borderId="0" applyFont="0" applyFill="0" applyBorder="0" applyAlignment="0" applyProtection="0"/>
    <xf numFmtId="3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0" fillId="0" borderId="0" applyFont="0" applyFill="0" applyBorder="0" applyAlignment="0" applyProtection="0"/>
    <xf numFmtId="335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7" fontId="45" fillId="0" borderId="0"/>
    <xf numFmtId="337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7" fontId="45" fillId="0" borderId="0"/>
    <xf numFmtId="337" fontId="45" fillId="0" borderId="0"/>
    <xf numFmtId="0" fontId="60" fillId="0" borderId="0"/>
    <xf numFmtId="0" fontId="6" fillId="0" borderId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40" fontId="35" fillId="0" borderId="0" applyFont="0" applyFill="0" applyBorder="0" applyAlignment="0" applyProtection="0"/>
    <xf numFmtId="208" fontId="60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0" fontId="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07" fontId="6" fillId="0" borderId="0" applyFont="0" applyFill="0" applyBorder="0" applyAlignment="0" applyProtection="0"/>
    <xf numFmtId="344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12" fontId="60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83" fontId="5" fillId="0" borderId="0" applyFont="0" applyFill="0" applyBorder="0" applyAlignment="0" applyProtection="0"/>
    <xf numFmtId="345" fontId="35" fillId="0" borderId="0" applyFont="0" applyFill="0" applyBorder="0" applyAlignment="0" applyProtection="0"/>
    <xf numFmtId="346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8" fontId="35" fillId="0" borderId="0" applyFont="0" applyFill="0" applyBorder="0" applyAlignment="0" applyProtection="0"/>
    <xf numFmtId="349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9" fontId="5" fillId="0" borderId="0" applyFont="0" applyFill="0" applyBorder="0" applyAlignment="0" applyProtection="0"/>
    <xf numFmtId="351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52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62" fontId="50" fillId="0" borderId="28" applyNumberFormat="0" applyFill="0" applyAlignment="0" applyProtection="0"/>
    <xf numFmtId="0" fontId="50" fillId="0" borderId="75" applyNumberFormat="0" applyFill="0" applyAlignment="0" applyProtection="0"/>
    <xf numFmtId="262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62" fontId="50" fillId="0" borderId="28" applyNumberFormat="0" applyFill="0" applyAlignment="0" applyProtection="0"/>
    <xf numFmtId="0" fontId="50" fillId="0" borderId="28" applyNumberFormat="0" applyFill="0" applyAlignment="0" applyProtection="0"/>
    <xf numFmtId="173" fontId="50" fillId="0" borderId="75" applyNumberFormat="0" applyFill="0" applyAlignment="0" applyProtection="0"/>
    <xf numFmtId="173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7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74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9" fontId="6" fillId="0" borderId="0" applyFont="0" applyFill="0" applyBorder="0" applyProtection="0"/>
    <xf numFmtId="353" fontId="60" fillId="0" borderId="0" applyFont="0" applyFill="0" applyBorder="0" applyAlignment="0">
      <alignment vertical="center"/>
    </xf>
    <xf numFmtId="182" fontId="304" fillId="94" borderId="0" applyNumberFormat="0" applyFont="0" applyBorder="0" applyAlignment="0">
      <alignment horizontal="right"/>
    </xf>
    <xf numFmtId="354" fontId="88" fillId="94" borderId="2" applyFont="0">
      <alignment horizontal="right"/>
    </xf>
    <xf numFmtId="0" fontId="4" fillId="0" borderId="0" applyNumberFormat="0" applyFill="0" applyBorder="0" applyAlignment="0" applyProtection="0"/>
    <xf numFmtId="355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56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165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52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7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14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15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1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358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9" fontId="38" fillId="13" borderId="0">
      <protection hidden="1"/>
    </xf>
    <xf numFmtId="299" fontId="6" fillId="0" borderId="80" applyFont="0" applyFill="0" applyBorder="0" applyAlignment="0" applyProtection="0"/>
    <xf numFmtId="219" fontId="6" fillId="0" borderId="0" applyFont="0" applyFill="0" applyBorder="0" applyAlignment="0" applyProtection="0"/>
    <xf numFmtId="360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61" fontId="6" fillId="0" borderId="30"/>
    <xf numFmtId="182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62" fontId="60" fillId="0" borderId="0"/>
    <xf numFmtId="3" fontId="318" fillId="0" borderId="81"/>
    <xf numFmtId="0" fontId="56" fillId="0" borderId="0" applyFont="0" applyFill="0" applyBorder="0" applyAlignment="0" applyProtection="0"/>
    <xf numFmtId="363" fontId="6" fillId="0" borderId="0" applyFont="0" applyFill="0" applyBorder="0" applyAlignment="0" applyProtection="0"/>
    <xf numFmtId="364" fontId="6" fillId="0" borderId="0" applyFont="0" applyFill="0" applyBorder="0" applyAlignment="0" applyProtection="0"/>
    <xf numFmtId="0" fontId="294" fillId="0" borderId="0"/>
    <xf numFmtId="366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168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170" fontId="294" fillId="0" borderId="0" applyFont="0" applyFill="0" applyBorder="0" applyAlignment="0" applyProtection="0"/>
    <xf numFmtId="173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73" fontId="325" fillId="0" borderId="0" applyFill="0" applyBorder="0" applyAlignment="0" applyProtection="0"/>
    <xf numFmtId="0" fontId="326" fillId="101" borderId="0" applyProtection="0">
      <alignment vertical="center"/>
    </xf>
    <xf numFmtId="173" fontId="8" fillId="3" borderId="96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168" fontId="60" fillId="3" borderId="96"/>
    <xf numFmtId="241" fontId="4" fillId="3" borderId="96"/>
    <xf numFmtId="181" fontId="60" fillId="3" borderId="96"/>
    <xf numFmtId="248" fontId="3" fillId="3" borderId="95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65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9" fontId="37" fillId="0" borderId="82"/>
    <xf numFmtId="170" fontId="37" fillId="0" borderId="82"/>
    <xf numFmtId="168" fontId="15" fillId="0" borderId="82"/>
    <xf numFmtId="185" fontId="15" fillId="0" borderId="82"/>
    <xf numFmtId="181" fontId="4" fillId="0" borderId="82"/>
    <xf numFmtId="228" fontId="4" fillId="0" borderId="82"/>
    <xf numFmtId="196" fontId="4" fillId="0" borderId="82"/>
    <xf numFmtId="169" fontId="15" fillId="0" borderId="82"/>
    <xf numFmtId="165" fontId="15" fillId="0" borderId="82"/>
    <xf numFmtId="15" fontId="118" fillId="0" borderId="82" applyBorder="0">
      <alignment horizontal="center"/>
    </xf>
    <xf numFmtId="14" fontId="149" fillId="3" borderId="95" applyProtection="0">
      <alignment horizontal="right"/>
    </xf>
    <xf numFmtId="181" fontId="6" fillId="3" borderId="94" applyProtection="0">
      <alignment horizontal="right"/>
    </xf>
    <xf numFmtId="173" fontId="149" fillId="3" borderId="95">
      <alignment horizontal="right"/>
    </xf>
    <xf numFmtId="173" fontId="149" fillId="3" borderId="95">
      <alignment horizontal="right"/>
    </xf>
    <xf numFmtId="199" fontId="35" fillId="0" borderId="69" applyFont="0" applyFill="0" applyBorder="0" applyAlignment="0" applyProtection="0"/>
    <xf numFmtId="10" fontId="38" fillId="0" borderId="69"/>
    <xf numFmtId="10" fontId="38" fillId="0" borderId="69"/>
    <xf numFmtId="318" fontId="84" fillId="3" borderId="95">
      <alignment horizontal="right"/>
    </xf>
    <xf numFmtId="9" fontId="15" fillId="0" borderId="82"/>
    <xf numFmtId="188" fontId="6" fillId="14" borderId="69" applyFill="0" applyBorder="0" applyAlignment="0" applyProtection="0"/>
    <xf numFmtId="181" fontId="15" fillId="0" borderId="82"/>
    <xf numFmtId="10" fontId="15" fillId="0" borderId="82"/>
    <xf numFmtId="318" fontId="84" fillId="3" borderId="95">
      <alignment horizontal="right"/>
    </xf>
    <xf numFmtId="0" fontId="4" fillId="0" borderId="82"/>
    <xf numFmtId="185" fontId="31" fillId="0" borderId="82">
      <alignment horizontal="right"/>
    </xf>
    <xf numFmtId="249" fontId="38" fillId="0" borderId="82"/>
    <xf numFmtId="185" fontId="38" fillId="0" borderId="82"/>
    <xf numFmtId="170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8" fontId="4" fillId="0" borderId="82"/>
    <xf numFmtId="257" fontId="4" fillId="0" borderId="82"/>
    <xf numFmtId="173" fontId="6" fillId="0" borderId="82" applyNumberFormat="0" applyFont="0" applyFill="0" applyAlignment="0"/>
    <xf numFmtId="0" fontId="35" fillId="0" borderId="82" applyProtection="0">
      <alignment vertical="top"/>
    </xf>
    <xf numFmtId="173" fontId="3" fillId="3" borderId="95"/>
    <xf numFmtId="173" fontId="8" fillId="3" borderId="96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173" fontId="3" fillId="3" borderId="95"/>
    <xf numFmtId="0" fontId="8" fillId="3" borderId="96"/>
    <xf numFmtId="0" fontId="60" fillId="0" borderId="82"/>
    <xf numFmtId="0" fontId="6" fillId="0" borderId="0">
      <alignment vertical="center"/>
    </xf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62" fontId="50" fillId="0" borderId="97" applyNumberFormat="0" applyFill="0" applyAlignment="0" applyProtection="0"/>
    <xf numFmtId="262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62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99" fillId="48" borderId="83" applyFill="0" applyBorder="0" applyProtection="0">
      <alignment horizontal="left"/>
    </xf>
  </cellStyleXfs>
  <cellXfs count="351">
    <xf numFmtId="0" fontId="0" fillId="0" borderId="0" xfId="0"/>
    <xf numFmtId="4" fontId="0" fillId="0" borderId="0" xfId="0" applyNumberFormat="1"/>
    <xf numFmtId="173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73" fontId="14" fillId="0" borderId="0" xfId="0" applyNumberFormat="1" applyFont="1"/>
    <xf numFmtId="174" fontId="9" fillId="0" borderId="0" xfId="0" applyNumberFormat="1" applyFont="1" applyAlignment="1">
      <alignment horizontal="right"/>
    </xf>
    <xf numFmtId="0" fontId="14" fillId="0" borderId="0" xfId="0" applyFont="1"/>
    <xf numFmtId="173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73" fontId="8" fillId="0" borderId="0" xfId="0" applyNumberFormat="1" applyFont="1"/>
    <xf numFmtId="174" fontId="14" fillId="0" borderId="0" xfId="0" applyNumberFormat="1" applyFont="1"/>
    <xf numFmtId="173" fontId="14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73" fontId="9" fillId="0" borderId="0" xfId="0" applyNumberFormat="1" applyFont="1"/>
    <xf numFmtId="4" fontId="0" fillId="0" borderId="15" xfId="0" applyNumberFormat="1" applyBorder="1"/>
    <xf numFmtId="173" fontId="22" fillId="7" borderId="4" xfId="0" applyNumberFormat="1" applyFont="1" applyFill="1" applyBorder="1" applyAlignment="1">
      <alignment horizontal="left"/>
    </xf>
    <xf numFmtId="173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73" fontId="8" fillId="7" borderId="2" xfId="0" applyNumberFormat="1" applyFont="1" applyFill="1" applyBorder="1"/>
    <xf numFmtId="173" fontId="14" fillId="7" borderId="2" xfId="0" applyNumberFormat="1" applyFont="1" applyFill="1" applyBorder="1"/>
    <xf numFmtId="174" fontId="14" fillId="7" borderId="2" xfId="0" applyNumberFormat="1" applyFont="1" applyFill="1" applyBorder="1"/>
    <xf numFmtId="173" fontId="14" fillId="7" borderId="5" xfId="0" applyNumberFormat="1" applyFont="1" applyFill="1" applyBorder="1"/>
    <xf numFmtId="173" fontId="25" fillId="0" borderId="0" xfId="0" applyNumberFormat="1" applyFont="1"/>
    <xf numFmtId="0" fontId="21" fillId="0" borderId="2" xfId="0" applyFont="1" applyBorder="1"/>
    <xf numFmtId="173" fontId="2" fillId="7" borderId="2" xfId="0" applyNumberFormat="1" applyFont="1" applyFill="1" applyBorder="1"/>
    <xf numFmtId="174" fontId="8" fillId="2" borderId="1" xfId="0" applyNumberFormat="1" applyFont="1" applyFill="1" applyBorder="1"/>
    <xf numFmtId="0" fontId="21" fillId="0" borderId="0" xfId="0" applyFont="1"/>
    <xf numFmtId="174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73" fontId="14" fillId="0" borderId="0" xfId="0" applyNumberFormat="1" applyFont="1" applyAlignment="1">
      <alignment horizontal="left"/>
    </xf>
    <xf numFmtId="0" fontId="259" fillId="0" borderId="0" xfId="0" applyFont="1"/>
    <xf numFmtId="173" fontId="258" fillId="0" borderId="0" xfId="0" applyNumberFormat="1" applyFont="1"/>
    <xf numFmtId="173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76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73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75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73" fontId="263" fillId="62" borderId="0" xfId="0" applyNumberFormat="1" applyFont="1" applyFill="1"/>
    <xf numFmtId="173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74" fontId="16" fillId="0" borderId="1" xfId="0" applyNumberFormat="1" applyFont="1" applyBorder="1"/>
    <xf numFmtId="174" fontId="0" fillId="0" borderId="0" xfId="0" applyNumberFormat="1"/>
    <xf numFmtId="0" fontId="251" fillId="0" borderId="0" xfId="0" applyFont="1"/>
    <xf numFmtId="174" fontId="251" fillId="0" borderId="0" xfId="0" applyNumberFormat="1" applyFont="1"/>
    <xf numFmtId="0" fontId="0" fillId="0" borderId="2" xfId="0" applyBorder="1"/>
    <xf numFmtId="0" fontId="0" fillId="0" borderId="8" xfId="0" applyBorder="1"/>
    <xf numFmtId="174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74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73" fontId="261" fillId="60" borderId="0" xfId="0" applyNumberFormat="1" applyFont="1" applyFill="1"/>
    <xf numFmtId="173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73" fontId="261" fillId="0" borderId="0" xfId="0" applyNumberFormat="1" applyFont="1" applyAlignment="1">
      <alignment horizontal="right"/>
    </xf>
    <xf numFmtId="174" fontId="21" fillId="0" borderId="0" xfId="0" applyNumberFormat="1" applyFont="1"/>
    <xf numFmtId="173" fontId="0" fillId="0" borderId="8" xfId="0" applyNumberFormat="1" applyBorder="1"/>
    <xf numFmtId="174" fontId="21" fillId="0" borderId="8" xfId="0" applyNumberFormat="1" applyFont="1" applyBorder="1"/>
    <xf numFmtId="0" fontId="251" fillId="0" borderId="11" xfId="0" applyFont="1" applyBorder="1"/>
    <xf numFmtId="181" fontId="251" fillId="0" borderId="11" xfId="2309" applyNumberFormat="1" applyFont="1" applyBorder="1"/>
    <xf numFmtId="174" fontId="21" fillId="0" borderId="11" xfId="0" applyNumberFormat="1" applyFont="1" applyBorder="1"/>
    <xf numFmtId="10" fontId="8" fillId="2" borderId="1" xfId="0" applyNumberFormat="1" applyFont="1" applyFill="1" applyBorder="1"/>
    <xf numFmtId="0" fontId="263" fillId="65" borderId="0" xfId="0" applyFont="1" applyFill="1" applyAlignment="1">
      <alignment horizontal="center"/>
    </xf>
    <xf numFmtId="173" fontId="263" fillId="7" borderId="8" xfId="0" applyNumberFormat="1" applyFont="1" applyFill="1" applyBorder="1" applyAlignment="1">
      <alignment horizontal="left"/>
    </xf>
    <xf numFmtId="173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73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75" fontId="261" fillId="60" borderId="0" xfId="0" applyNumberFormat="1" applyFont="1" applyFill="1" applyAlignment="1">
      <alignment horizontal="right"/>
    </xf>
    <xf numFmtId="175" fontId="261" fillId="60" borderId="0" xfId="0" applyNumberFormat="1" applyFont="1" applyFill="1"/>
    <xf numFmtId="0" fontId="263" fillId="65" borderId="0" xfId="0" applyFont="1" applyFill="1"/>
    <xf numFmtId="175" fontId="263" fillId="65" borderId="0" xfId="0" applyNumberFormat="1" applyFont="1" applyFill="1" applyAlignment="1">
      <alignment horizontal="right"/>
    </xf>
    <xf numFmtId="174" fontId="262" fillId="0" borderId="0" xfId="0" applyNumberFormat="1" applyFont="1" applyAlignment="1">
      <alignment horizontal="right"/>
    </xf>
    <xf numFmtId="173" fontId="261" fillId="0" borderId="2" xfId="0" applyNumberFormat="1" applyFont="1" applyBorder="1"/>
    <xf numFmtId="174" fontId="16" fillId="2" borderId="1" xfId="0" applyNumberFormat="1" applyFont="1" applyFill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73" fontId="16" fillId="0" borderId="2" xfId="0" applyNumberFormat="1" applyFont="1" applyBorder="1"/>
    <xf numFmtId="10" fontId="14" fillId="0" borderId="0" xfId="0" applyNumberFormat="1" applyFont="1"/>
    <xf numFmtId="173" fontId="6" fillId="0" borderId="0" xfId="0" applyNumberFormat="1" applyFont="1"/>
    <xf numFmtId="173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81" fontId="16" fillId="5" borderId="73" xfId="0" applyNumberFormat="1" applyFont="1" applyFill="1" applyBorder="1"/>
    <xf numFmtId="181" fontId="299" fillId="0" borderId="0" xfId="2309" applyNumberFormat="1" applyFont="1" applyFill="1" applyBorder="1"/>
    <xf numFmtId="329" fontId="16" fillId="0" borderId="6" xfId="0" applyNumberFormat="1" applyFont="1" applyBorder="1"/>
    <xf numFmtId="330" fontId="16" fillId="5" borderId="1" xfId="0" applyNumberFormat="1" applyFont="1" applyFill="1" applyBorder="1"/>
    <xf numFmtId="330" fontId="16" fillId="5" borderId="73" xfId="2" applyNumberFormat="1" applyFont="1" applyFill="1" applyBorder="1" applyAlignment="1">
      <alignment horizontal="right"/>
    </xf>
    <xf numFmtId="197" fontId="261" fillId="0" borderId="0" xfId="0" applyNumberFormat="1" applyFont="1"/>
    <xf numFmtId="197" fontId="261" fillId="0" borderId="0" xfId="0" applyNumberFormat="1" applyFont="1" applyAlignment="1">
      <alignment horizontal="right"/>
    </xf>
    <xf numFmtId="329" fontId="262" fillId="0" borderId="0" xfId="0" applyNumberFormat="1" applyFont="1" applyAlignment="1">
      <alignment horizontal="right"/>
    </xf>
    <xf numFmtId="329" fontId="9" fillId="0" borderId="0" xfId="0" applyNumberFormat="1" applyFont="1" applyAlignment="1">
      <alignment horizontal="right"/>
    </xf>
    <xf numFmtId="329" fontId="298" fillId="3" borderId="1" xfId="2311" applyNumberFormat="1" applyFont="1" applyFill="1" applyBorder="1"/>
    <xf numFmtId="329" fontId="9" fillId="0" borderId="1" xfId="2311" applyNumberFormat="1" applyFont="1" applyBorder="1"/>
    <xf numFmtId="15" fontId="16" fillId="80" borderId="1" xfId="2" applyNumberFormat="1" applyFont="1" applyFill="1" applyBorder="1" applyAlignment="1">
      <alignment horizontal="right"/>
    </xf>
    <xf numFmtId="173" fontId="8" fillId="80" borderId="6" xfId="0" applyNumberFormat="1" applyFont="1" applyFill="1" applyBorder="1" applyAlignment="1">
      <alignment horizontal="right"/>
    </xf>
    <xf numFmtId="256" fontId="6" fillId="0" borderId="0" xfId="1686" applyNumberFormat="1"/>
    <xf numFmtId="256" fontId="261" fillId="0" borderId="8" xfId="0" applyNumberFormat="1" applyFont="1" applyBorder="1"/>
    <xf numFmtId="197" fontId="261" fillId="0" borderId="11" xfId="0" applyNumberFormat="1" applyFont="1" applyBorder="1"/>
    <xf numFmtId="330" fontId="0" fillId="0" borderId="0" xfId="0" applyNumberFormat="1"/>
    <xf numFmtId="0" fontId="261" fillId="60" borderId="65" xfId="0" applyFont="1" applyFill="1" applyBorder="1" applyAlignment="1">
      <alignment horizontal="right"/>
    </xf>
    <xf numFmtId="181" fontId="0" fillId="8" borderId="13" xfId="0" applyNumberFormat="1" applyFill="1" applyBorder="1"/>
    <xf numFmtId="181" fontId="0" fillId="8" borderId="10" xfId="0" applyNumberFormat="1" applyFill="1" applyBorder="1"/>
    <xf numFmtId="173" fontId="297" fillId="0" borderId="0" xfId="0" applyNumberFormat="1" applyFont="1"/>
    <xf numFmtId="173" fontId="0" fillId="0" borderId="2" xfId="0" applyNumberFormat="1" applyBorder="1"/>
    <xf numFmtId="173" fontId="0" fillId="0" borderId="70" xfId="0" applyNumberFormat="1" applyBorder="1"/>
    <xf numFmtId="173" fontId="0" fillId="0" borderId="11" xfId="0" applyNumberFormat="1" applyBorder="1"/>
    <xf numFmtId="256" fontId="0" fillId="0" borderId="8" xfId="0" applyNumberFormat="1" applyBorder="1"/>
    <xf numFmtId="197" fontId="0" fillId="0" borderId="11" xfId="0" applyNumberFormat="1" applyBorder="1"/>
    <xf numFmtId="173" fontId="263" fillId="61" borderId="0" xfId="0" applyNumberFormat="1" applyFont="1" applyFill="1" applyAlignment="1">
      <alignment horizontal="right"/>
    </xf>
    <xf numFmtId="173" fontId="263" fillId="61" borderId="0" xfId="0" applyNumberFormat="1" applyFont="1" applyFill="1" applyAlignment="1">
      <alignment horizontal="left"/>
    </xf>
    <xf numFmtId="330" fontId="16" fillId="2" borderId="1" xfId="0" applyNumberFormat="1" applyFont="1" applyFill="1" applyBorder="1"/>
    <xf numFmtId="330" fontId="0" fillId="8" borderId="0" xfId="0" applyNumberFormat="1" applyFill="1"/>
    <xf numFmtId="330" fontId="0" fillId="8" borderId="14" xfId="0" applyNumberFormat="1" applyFill="1" applyBorder="1"/>
    <xf numFmtId="176" fontId="261" fillId="60" borderId="0" xfId="0" applyNumberFormat="1" applyFont="1" applyFill="1" applyAlignment="1">
      <alignment horizontal="right"/>
    </xf>
    <xf numFmtId="175" fontId="16" fillId="60" borderId="65" xfId="0" applyNumberFormat="1" applyFont="1" applyFill="1" applyBorder="1" applyAlignment="1">
      <alignment horizontal="right"/>
    </xf>
    <xf numFmtId="329" fontId="0" fillId="0" borderId="0" xfId="0" applyNumberFormat="1"/>
    <xf numFmtId="173" fontId="320" fillId="0" borderId="0" xfId="0" applyNumberFormat="1" applyFont="1"/>
    <xf numFmtId="173" fontId="1" fillId="0" borderId="0" xfId="0" applyNumberFormat="1" applyFont="1"/>
    <xf numFmtId="0" fontId="320" fillId="0" borderId="0" xfId="0" applyFont="1"/>
    <xf numFmtId="0" fontId="1" fillId="0" borderId="0" xfId="0" applyFont="1"/>
    <xf numFmtId="329" fontId="9" fillId="0" borderId="74" xfId="2311" applyNumberFormat="1" applyFont="1" applyBorder="1"/>
    <xf numFmtId="329" fontId="298" fillId="3" borderId="74" xfId="2311" applyNumberFormat="1" applyFont="1" applyFill="1" applyBorder="1"/>
    <xf numFmtId="173" fontId="16" fillId="0" borderId="0" xfId="0" applyNumberFormat="1" applyFont="1"/>
    <xf numFmtId="330" fontId="297" fillId="0" borderId="72" xfId="0" applyNumberFormat="1" applyFont="1" applyBorder="1"/>
    <xf numFmtId="10" fontId="297" fillId="0" borderId="72" xfId="0" applyNumberFormat="1" applyFont="1" applyBorder="1"/>
    <xf numFmtId="174" fontId="297" fillId="0" borderId="62" xfId="0" applyNumberFormat="1" applyFont="1" applyBorder="1"/>
    <xf numFmtId="173" fontId="252" fillId="8" borderId="13" xfId="0" applyNumberFormat="1" applyFont="1" applyFill="1" applyBorder="1"/>
    <xf numFmtId="256" fontId="0" fillId="0" borderId="0" xfId="0" applyNumberFormat="1"/>
    <xf numFmtId="0" fontId="19" fillId="0" borderId="0" xfId="3623" applyFont="1"/>
    <xf numFmtId="0" fontId="16" fillId="0" borderId="0" xfId="3623" applyFont="1"/>
    <xf numFmtId="329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66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66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66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66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9" fontId="261" fillId="0" borderId="0" xfId="3625" quotePrefix="1" applyNumberFormat="1" applyFont="1" applyFill="1" applyBorder="1" applyAlignment="1">
      <alignment horizontal="center" vertical="center" wrapText="1" readingOrder="1"/>
    </xf>
    <xf numFmtId="330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30" fontId="255" fillId="0" borderId="0" xfId="3630" applyNumberFormat="1" applyFont="1" applyFill="1" applyBorder="1" applyAlignment="1">
      <alignment horizontal="center" vertical="center" wrapText="1" readingOrder="1"/>
    </xf>
    <xf numFmtId="330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74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73" fontId="323" fillId="0" borderId="0" xfId="0" applyNumberFormat="1" applyFont="1" applyAlignment="1">
      <alignment vertical="center"/>
    </xf>
    <xf numFmtId="175" fontId="261" fillId="60" borderId="0" xfId="0" applyNumberFormat="1" applyFont="1" applyFill="1" applyAlignment="1">
      <alignment horizontal="center"/>
    </xf>
    <xf numFmtId="176" fontId="261" fillId="60" borderId="65" xfId="0" applyNumberFormat="1" applyFont="1" applyFill="1" applyBorder="1" applyAlignment="1">
      <alignment horizontal="center"/>
    </xf>
    <xf numFmtId="175" fontId="263" fillId="65" borderId="0" xfId="0" applyNumberFormat="1" applyFont="1" applyFill="1" applyAlignment="1">
      <alignment horizontal="center"/>
    </xf>
    <xf numFmtId="256" fontId="323" fillId="0" borderId="0" xfId="0" applyNumberFormat="1" applyFont="1" applyAlignment="1">
      <alignment horizontal="center" vertical="center"/>
    </xf>
    <xf numFmtId="174" fontId="327" fillId="0" borderId="0" xfId="0" applyNumberFormat="1" applyFont="1" applyAlignment="1">
      <alignment horizontal="center" vertical="center"/>
    </xf>
    <xf numFmtId="256" fontId="322" fillId="0" borderId="0" xfId="0" applyNumberFormat="1" applyFont="1" applyAlignment="1">
      <alignment horizontal="center" vertical="center"/>
    </xf>
    <xf numFmtId="329" fontId="327" fillId="0" borderId="0" xfId="0" applyNumberFormat="1" applyFont="1" applyAlignment="1">
      <alignment horizontal="center" vertical="center"/>
    </xf>
    <xf numFmtId="329" fontId="14" fillId="0" borderId="0" xfId="0" applyNumberFormat="1" applyFont="1"/>
    <xf numFmtId="256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9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56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56" fontId="333" fillId="0" borderId="0" xfId="3624" applyNumberFormat="1" applyFont="1" applyFill="1" applyAlignment="1">
      <alignment vertical="center"/>
    </xf>
    <xf numFmtId="197" fontId="333" fillId="0" borderId="0" xfId="3624" applyNumberFormat="1" applyFont="1" applyAlignment="1">
      <alignment vertical="center"/>
    </xf>
    <xf numFmtId="365" fontId="333" fillId="0" borderId="0" xfId="3624" applyNumberFormat="1" applyFont="1" applyAlignment="1">
      <alignment vertical="center"/>
    </xf>
    <xf numFmtId="256" fontId="331" fillId="6" borderId="11" xfId="3624" applyNumberFormat="1" applyFont="1" applyFill="1" applyBorder="1" applyAlignment="1">
      <alignment vertical="center"/>
    </xf>
    <xf numFmtId="256" fontId="333" fillId="0" borderId="0" xfId="3624" applyNumberFormat="1" applyFont="1" applyFill="1" applyAlignment="1">
      <alignment horizontal="center" vertical="center"/>
    </xf>
    <xf numFmtId="329" fontId="333" fillId="0" borderId="0" xfId="3625" applyNumberFormat="1" applyFont="1" applyFill="1" applyAlignment="1">
      <alignment horizontal="center" vertical="center"/>
    </xf>
    <xf numFmtId="256" fontId="331" fillId="6" borderId="87" xfId="3624" applyNumberFormat="1" applyFont="1" applyFill="1" applyBorder="1" applyAlignment="1">
      <alignment horizontal="center" vertical="center"/>
    </xf>
    <xf numFmtId="329" fontId="331" fillId="6" borderId="87" xfId="3625" applyNumberFormat="1" applyFont="1" applyFill="1" applyBorder="1" applyAlignment="1">
      <alignment horizontal="center" vertical="center"/>
    </xf>
    <xf numFmtId="256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9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31" fontId="333" fillId="60" borderId="89" xfId="3625" quotePrefix="1" applyNumberFormat="1" applyFont="1" applyFill="1" applyBorder="1" applyAlignment="1">
      <alignment horizontal="center" vertical="center" wrapText="1" readingOrder="1"/>
    </xf>
    <xf numFmtId="329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56" fontId="333" fillId="0" borderId="0" xfId="3630" applyNumberFormat="1" applyFont="1" applyFill="1" applyBorder="1" applyAlignment="1">
      <alignment horizontal="center" vertical="center"/>
    </xf>
    <xf numFmtId="256" fontId="333" fillId="6" borderId="0" xfId="3630" applyNumberFormat="1" applyFont="1" applyFill="1" applyBorder="1" applyAlignment="1">
      <alignment horizontal="center" vertical="center"/>
    </xf>
    <xf numFmtId="256" fontId="331" fillId="6" borderId="0" xfId="3630" applyNumberFormat="1" applyFont="1" applyFill="1" applyBorder="1" applyAlignment="1">
      <alignment horizontal="center" vertical="center"/>
    </xf>
    <xf numFmtId="329" fontId="333" fillId="60" borderId="92" xfId="3625" applyNumberFormat="1" applyFont="1" applyFill="1" applyBorder="1" applyAlignment="1">
      <alignment vertical="center" wrapText="1" readingOrder="1"/>
    </xf>
    <xf numFmtId="256" fontId="333" fillId="0" borderId="11" xfId="3630" applyNumberFormat="1" applyFont="1" applyFill="1" applyBorder="1" applyAlignment="1">
      <alignment horizontal="center" vertical="center"/>
    </xf>
    <xf numFmtId="329" fontId="9" fillId="0" borderId="93" xfId="2311" applyNumberFormat="1" applyFont="1" applyBorder="1"/>
    <xf numFmtId="173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73" fontId="297" fillId="0" borderId="69" xfId="0" applyNumberFormat="1" applyFont="1" applyBorder="1"/>
    <xf numFmtId="173" fontId="261" fillId="0" borderId="69" xfId="0" applyNumberFormat="1" applyFont="1" applyBorder="1"/>
    <xf numFmtId="173" fontId="0" fillId="0" borderId="69" xfId="0" applyNumberFormat="1" applyBorder="1"/>
    <xf numFmtId="181" fontId="299" fillId="0" borderId="69" xfId="2309" applyNumberFormat="1" applyFont="1" applyFill="1" applyBorder="1"/>
    <xf numFmtId="173" fontId="261" fillId="0" borderId="11" xfId="0" applyNumberFormat="1" applyFont="1" applyBorder="1"/>
    <xf numFmtId="175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9" fontId="251" fillId="0" borderId="0" xfId="0" applyNumberFormat="1" applyFont="1"/>
    <xf numFmtId="329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56" fontId="0" fillId="0" borderId="7" xfId="0" applyNumberFormat="1" applyBorder="1" applyAlignment="1">
      <alignment horizontal="center"/>
    </xf>
    <xf numFmtId="256" fontId="0" fillId="0" borderId="8" xfId="0" applyNumberFormat="1" applyBorder="1" applyAlignment="1">
      <alignment horizontal="center"/>
    </xf>
    <xf numFmtId="256" fontId="0" fillId="0" borderId="0" xfId="0" applyNumberFormat="1" applyAlignment="1">
      <alignment horizontal="center"/>
    </xf>
    <xf numFmtId="256" fontId="0" fillId="0" borderId="9" xfId="0" applyNumberFormat="1" applyBorder="1" applyAlignment="1">
      <alignment horizontal="center"/>
    </xf>
    <xf numFmtId="256" fontId="0" fillId="0" borderId="13" xfId="0" applyNumberFormat="1" applyBorder="1" applyAlignment="1">
      <alignment horizontal="center"/>
    </xf>
    <xf numFmtId="256" fontId="0" fillId="8" borderId="0" xfId="0" applyNumberFormat="1" applyFill="1" applyAlignment="1">
      <alignment horizontal="center"/>
    </xf>
    <xf numFmtId="256" fontId="0" fillId="0" borderId="14" xfId="0" applyNumberFormat="1" applyBorder="1" applyAlignment="1">
      <alignment horizontal="center"/>
    </xf>
    <xf numFmtId="256" fontId="0" fillId="0" borderId="10" xfId="0" applyNumberFormat="1" applyBorder="1" applyAlignment="1">
      <alignment horizontal="center"/>
    </xf>
    <xf numFmtId="256" fontId="0" fillId="0" borderId="11" xfId="0" applyNumberFormat="1" applyBorder="1" applyAlignment="1">
      <alignment horizontal="center"/>
    </xf>
    <xf numFmtId="256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30" fontId="0" fillId="8" borderId="0" xfId="0" applyNumberFormat="1" applyFill="1" applyAlignment="1">
      <alignment horizontal="center"/>
    </xf>
    <xf numFmtId="330" fontId="297" fillId="0" borderId="63" xfId="0" applyNumberFormat="1" applyFont="1" applyBorder="1" applyAlignment="1">
      <alignment horizontal="center"/>
    </xf>
    <xf numFmtId="330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76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81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73" fontId="263" fillId="64" borderId="0" xfId="0" applyNumberFormat="1" applyFont="1" applyFill="1" applyAlignment="1">
      <alignment horizontal="centerContinuous"/>
    </xf>
    <xf numFmtId="173" fontId="263" fillId="65" borderId="0" xfId="0" applyNumberFormat="1" applyFont="1" applyFill="1" applyAlignment="1">
      <alignment horizontal="centerContinuous"/>
    </xf>
    <xf numFmtId="173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56" fontId="337" fillId="0" borderId="0" xfId="0" applyNumberFormat="1" applyFont="1" applyAlignment="1">
      <alignment horizontal="center"/>
    </xf>
    <xf numFmtId="256" fontId="340" fillId="0" borderId="82" xfId="0" applyNumberFormat="1" applyFont="1" applyBorder="1" applyAlignment="1">
      <alignment horizontal="center"/>
    </xf>
    <xf numFmtId="330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56" fontId="261" fillId="0" borderId="0" xfId="1686" applyNumberFormat="1" applyFont="1"/>
    <xf numFmtId="173" fontId="261" fillId="80" borderId="2" xfId="0" applyNumberFormat="1" applyFont="1" applyFill="1" applyBorder="1"/>
    <xf numFmtId="37" fontId="261" fillId="0" borderId="0" xfId="0" applyNumberFormat="1" applyFont="1"/>
    <xf numFmtId="37" fontId="21" fillId="0" borderId="2" xfId="0" applyNumberFormat="1" applyFont="1" applyBorder="1"/>
    <xf numFmtId="329" fontId="251" fillId="0" borderId="11" xfId="2309" applyNumberFormat="1" applyFont="1" applyBorder="1"/>
    <xf numFmtId="329" fontId="327" fillId="0" borderId="11" xfId="0" applyNumberFormat="1" applyFont="1" applyBorder="1" applyAlignment="1">
      <alignment horizontal="center" vertical="center"/>
    </xf>
    <xf numFmtId="173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74" fontId="327" fillId="0" borderId="11" xfId="0" applyNumberFormat="1" applyFont="1" applyBorder="1" applyAlignment="1">
      <alignment horizontal="right" vertical="center"/>
    </xf>
    <xf numFmtId="174" fontId="327" fillId="0" borderId="11" xfId="0" applyNumberFormat="1" applyFont="1" applyBorder="1" applyAlignment="1">
      <alignment horizontal="center" vertical="center"/>
    </xf>
    <xf numFmtId="174" fontId="251" fillId="0" borderId="0" xfId="0" applyNumberFormat="1" applyFont="1" applyAlignment="1">
      <alignment horizontal="right"/>
    </xf>
    <xf numFmtId="10" fontId="0" fillId="0" borderId="0" xfId="0" applyNumberFormat="1"/>
    <xf numFmtId="0" fontId="0" fillId="80" borderId="0" xfId="0" applyFill="1"/>
    <xf numFmtId="282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9" fontId="9" fillId="0" borderId="0" xfId="2311" applyNumberFormat="1" applyFont="1"/>
    <xf numFmtId="329" fontId="298" fillId="0" borderId="0" xfId="2311" applyNumberFormat="1" applyFont="1"/>
    <xf numFmtId="39" fontId="14" fillId="0" borderId="0" xfId="0" applyNumberFormat="1" applyFont="1"/>
    <xf numFmtId="256" fontId="337" fillId="80" borderId="0" xfId="0" applyNumberFormat="1" applyFont="1" applyFill="1" applyAlignment="1">
      <alignment horizontal="center"/>
    </xf>
    <xf numFmtId="181" fontId="338" fillId="80" borderId="0" xfId="2309" applyNumberFormat="1" applyFont="1" applyFill="1" applyAlignment="1">
      <alignment horizontal="center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09">
    <cellStyle name="_x0010_" xfId="3627" xr:uid="{00000000-0005-0000-0000-000000000000}"/>
    <cellStyle name="-" xfId="9" xr:uid="{00000000-0005-0000-0000-000001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%" xfId="21" xr:uid="{00000000-0005-0000-0000-000013000000}"/>
    <cellStyle name="% [2]" xfId="22" xr:uid="{00000000-0005-0000-0000-000014000000}"/>
    <cellStyle name="%.00" xfId="23" xr:uid="{00000000-0005-0000-0000-000015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******************************************" xfId="32" xr:uid="{00000000-0005-0000-0000-000040000000}"/>
    <cellStyle name="*TD" xfId="33" xr:uid="{00000000-0005-0000-0000-000041000000}"/>
    <cellStyle name="." xfId="34" xr:uid="{00000000-0005-0000-0000-000042000000}"/>
    <cellStyle name=".1" xfId="35" xr:uid="{00000000-0005-0000-0000-00004300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_Entry Point" xfId="2000" xr:uid="{00000000-0005-0000-0000-000001020000}"/>
    <cellStyle name="_e-plus debt - Machado1" xfId="2365" xr:uid="{00000000-0005-0000-0000-000002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- C-lion Merger and Valuation Analysis" xfId="3161" xr:uid="{00000000-0005-0000-0000-000017070000}"/>
    <cellStyle name="_Table_10 LBO Model Packoma oct 2003" xfId="3162" xr:uid="{00000000-0005-0000-0000-000018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’Ê‰Ý [0.00]_GE 3 MINIMUM" xfId="452" xr:uid="{00000000-0005-0000-0000-000043080000}"/>
    <cellStyle name="’Ê‰Ý_GE 3 MINIMUM" xfId="453" xr:uid="{00000000-0005-0000-0000-000044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•W€_GE 3 MINIMUM" xfId="478" xr:uid="{00000000-0005-0000-0000-000063080000}"/>
    <cellStyle name="•W_GE 3 MINIMUM" xfId="477" xr:uid="{00000000-0005-0000-0000-000064080000}"/>
    <cellStyle name="0" xfId="480" xr:uid="{00000000-0005-0000-0000-000065080000}"/>
    <cellStyle name="0%" xfId="481" xr:uid="{00000000-0005-0000-0000-000066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%" xfId="485" xr:uid="{00000000-0005-0000-0000-00006A080000}"/>
    <cellStyle name="0.0_temp templates2" xfId="486" xr:uid="{00000000-0005-0000-0000-00006B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1_HardCode" xfId="3634" xr:uid="{00000000-0005-0000-0000-00007A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0080000}"/>
    <cellStyle name="act" xfId="3470" xr:uid="{00000000-0005-0000-0000-0000E1080000}"/>
    <cellStyle name="Actual data" xfId="3471" xr:uid="{00000000-0005-0000-0000-0000E2080000}"/>
    <cellStyle name="Actual Date" xfId="504" xr:uid="{00000000-0005-0000-0000-0000E3080000}"/>
    <cellStyle name="Actual year" xfId="3472" xr:uid="{00000000-0005-0000-0000-0000E4080000}"/>
    <cellStyle name="Actuals Cells" xfId="3473" xr:uid="{00000000-0005-0000-0000-0000E5080000}"/>
    <cellStyle name="AFE" xfId="505" xr:uid="{00000000-0005-0000-0000-0000E6080000}"/>
    <cellStyle name="aht" xfId="506" xr:uid="{00000000-0005-0000-0000-0000E7080000}"/>
    <cellStyle name="AJHCustom" xfId="3474" xr:uid="{00000000-0005-0000-0000-0000E8080000}"/>
    <cellStyle name="Año" xfId="507" xr:uid="{00000000-0005-0000-0000-0000E9080000}"/>
    <cellStyle name="ARaging" xfId="508" xr:uid="{00000000-0005-0000-0000-0000EA080000}"/>
    <cellStyle name="args.style" xfId="1745" xr:uid="{00000000-0005-0000-0000-0000EB080000}"/>
    <cellStyle name="arial" xfId="3475" xr:uid="{00000000-0005-0000-0000-0000EC080000}"/>
    <cellStyle name="Arial 10" xfId="509" xr:uid="{00000000-0005-0000-0000-0000ED080000}"/>
    <cellStyle name="Arial 12" xfId="510" xr:uid="{00000000-0005-0000-0000-0000EE080000}"/>
    <cellStyle name="Arial6Bold" xfId="3476" xr:uid="{00000000-0005-0000-0000-0000EF080000}"/>
    <cellStyle name="Arial8Bold" xfId="3477" xr:uid="{00000000-0005-0000-0000-0000F0080000}"/>
    <cellStyle name="Arial8Italic" xfId="3478" xr:uid="{00000000-0005-0000-0000-0000F1080000}"/>
    <cellStyle name="ArialNormal" xfId="511" xr:uid="{00000000-0005-0000-0000-0000F2080000}"/>
    <cellStyle name="As_Reported" xfId="3479" xr:uid="{00000000-0005-0000-0000-0000F3080000}"/>
    <cellStyle name="AsNorm" xfId="512" xr:uid="{00000000-0005-0000-0000-0000F4080000}"/>
    <cellStyle name="AsPer" xfId="513" xr:uid="{00000000-0005-0000-0000-0000F5080000}"/>
    <cellStyle name="Ass_perc" xfId="514" xr:uid="{00000000-0005-0000-0000-0000F6080000}"/>
    <cellStyle name="Assum 0" xfId="515" xr:uid="{00000000-0005-0000-0000-0000F7080000}"/>
    <cellStyle name="Assum 0 2" xfId="3655" xr:uid="{00000000-0005-0000-0000-0000F8080000}"/>
    <cellStyle name="Assum 1,$" xfId="516" xr:uid="{00000000-0005-0000-0000-0000F9080000}"/>
    <cellStyle name="Assum 1,$ 2" xfId="3656" xr:uid="{00000000-0005-0000-0000-0000FA080000}"/>
    <cellStyle name="Assum 1,%" xfId="517" xr:uid="{00000000-0005-0000-0000-0000FB080000}"/>
    <cellStyle name="Assum 1,% 2" xfId="3657" xr:uid="{00000000-0005-0000-0000-0000FC080000}"/>
    <cellStyle name="Assumption" xfId="518" xr:uid="{00000000-0005-0000-0000-0000FD080000}"/>
    <cellStyle name="Assumptions" xfId="519" xr:uid="{00000000-0005-0000-0000-0000FE080000}"/>
    <cellStyle name="Assumptions % 0 dp" xfId="520" xr:uid="{00000000-0005-0000-0000-0000FF080000}"/>
    <cellStyle name="Assumptions % 1 dp" xfId="521" xr:uid="{00000000-0005-0000-0000-000000090000}"/>
    <cellStyle name="Assumptions % 2 dp" xfId="522" xr:uid="{00000000-0005-0000-0000-000001090000}"/>
    <cellStyle name="Assumptions % 3 dp" xfId="523" xr:uid="{00000000-0005-0000-0000-000002090000}"/>
    <cellStyle name="Assumptions 0 dp" xfId="524" xr:uid="{00000000-0005-0000-0000-000003090000}"/>
    <cellStyle name="Assumptions 1 dp" xfId="525" xr:uid="{00000000-0005-0000-0000-000004090000}"/>
    <cellStyle name="Assumptions 2 dp" xfId="526" xr:uid="{00000000-0005-0000-0000-000005090000}"/>
    <cellStyle name="Assumptions 3 dp" xfId="527" xr:uid="{00000000-0005-0000-0000-000006090000}"/>
    <cellStyle name="Assumptions x 1 dp" xfId="528" xr:uid="{00000000-0005-0000-0000-000007090000}"/>
    <cellStyle name="Assumptions x 2 dp" xfId="529" xr:uid="{00000000-0005-0000-0000-000008090000}"/>
    <cellStyle name="ast" xfId="530" xr:uid="{00000000-0005-0000-0000-000009090000}"/>
    <cellStyle name="at" xfId="531" xr:uid="{00000000-0005-0000-0000-00000A090000}"/>
    <cellStyle name="Attention" xfId="532" xr:uid="{00000000-0005-0000-0000-00000B090000}"/>
    <cellStyle name="Awaiting LAS" xfId="3480" xr:uid="{00000000-0005-0000-0000-00000C090000}"/>
    <cellStyle name="b" xfId="533" xr:uid="{00000000-0005-0000-0000-00000D090000}"/>
    <cellStyle name="b$0" xfId="534" xr:uid="{00000000-0005-0000-0000-00000E090000}"/>
    <cellStyle name="b$1" xfId="535" xr:uid="{00000000-0005-0000-0000-00000F090000}"/>
    <cellStyle name="b$2" xfId="536" xr:uid="{00000000-0005-0000-0000-000010090000}"/>
    <cellStyle name="b%0" xfId="537" xr:uid="{00000000-0005-0000-0000-000011090000}"/>
    <cellStyle name="b%1" xfId="538" xr:uid="{00000000-0005-0000-0000-000012090000}"/>
    <cellStyle name="b%2" xfId="539" xr:uid="{00000000-0005-0000-0000-000013090000}"/>
    <cellStyle name="b_Eagle Bear model v8" xfId="540" xr:uid="{00000000-0005-0000-0000-000014090000}"/>
    <cellStyle name="b_Feeder" xfId="541" xr:uid="{00000000-0005-0000-0000-000015090000}"/>
    <cellStyle name="b_GKN_FNM model v3" xfId="542" xr:uid="{00000000-0005-0000-0000-000016090000}"/>
    <cellStyle name="b_GKN_FNM model v3 2" xfId="3658" xr:uid="{00000000-0005-0000-0000-000017090000}"/>
    <cellStyle name="b_Impress - Shareholder returns - JPM Apr 26" xfId="543" xr:uid="{00000000-0005-0000-0000-000018090000}"/>
    <cellStyle name="b_M&amp;A Model" xfId="544" xr:uid="{00000000-0005-0000-0000-000019090000}"/>
    <cellStyle name="b_M&amp;A projections" xfId="545" xr:uid="{00000000-0005-0000-0000-00001A090000}"/>
    <cellStyle name="b_Mivisa DCF v1" xfId="546" xr:uid="{00000000-0005-0000-0000-00001B090000}"/>
    <cellStyle name="b_Project Lucy model v40 160305" xfId="8" xr:uid="{00000000-0005-0000-0000-00001C090000}"/>
    <cellStyle name="b_Project Lucy model v40 160305 2" xfId="2254" xr:uid="{00000000-0005-0000-0000-00001D090000}"/>
    <cellStyle name="b_Project Lucy model v40 160305 2 2" xfId="3713" xr:uid="{00000000-0005-0000-0000-00001E090000}"/>
    <cellStyle name="b_Project Lucy model v40 160305 3" xfId="3644" xr:uid="{00000000-0005-0000-0000-00001F090000}"/>
    <cellStyle name="b_Project Lucy model v40 160305_Gondola Debt &amp; Valuation Model - 041109" xfId="1688" xr:uid="{00000000-0005-0000-0000-000020090000}"/>
    <cellStyle name="b_Project Lucy model v40 160305_Gondola Debt &amp; Valuation Model - 041109 2" xfId="3700" xr:uid="{00000000-0005-0000-0000-000021090000}"/>
    <cellStyle name="b£0" xfId="547" xr:uid="{00000000-0005-0000-0000-000022090000}"/>
    <cellStyle name="b£1" xfId="548" xr:uid="{00000000-0005-0000-0000-000023090000}"/>
    <cellStyle name="b£2" xfId="549" xr:uid="{00000000-0005-0000-0000-000024090000}"/>
    <cellStyle name="b0" xfId="550" xr:uid="{00000000-0005-0000-0000-000025090000}"/>
    <cellStyle name="b09" xfId="551" xr:uid="{00000000-0005-0000-0000-000026090000}"/>
    <cellStyle name="b1" xfId="552" xr:uid="{00000000-0005-0000-0000-000027090000}"/>
    <cellStyle name="b2" xfId="553" xr:uid="{00000000-0005-0000-0000-000028090000}"/>
    <cellStyle name="Bad 2" xfId="3481" xr:uid="{00000000-0005-0000-0000-000029090000}"/>
    <cellStyle name="Bad 2 2" xfId="3482" xr:uid="{00000000-0005-0000-0000-00002A090000}"/>
    <cellStyle name="BalanceSheet" xfId="554" xr:uid="{00000000-0005-0000-0000-00002B090000}"/>
    <cellStyle name="Banner" xfId="3483" xr:uid="{00000000-0005-0000-0000-00002C090000}"/>
    <cellStyle name="Basic" xfId="555" xr:uid="{00000000-0005-0000-0000-00002D090000}"/>
    <cellStyle name="Basis points" xfId="556" xr:uid="{00000000-0005-0000-0000-00002E090000}"/>
    <cellStyle name="bbox" xfId="3484" xr:uid="{00000000-0005-0000-0000-00002F090000}"/>
    <cellStyle name="Besuchter Hyperlink_Key assumptions GX companies" xfId="557" xr:uid="{00000000-0005-0000-0000-000030090000}"/>
    <cellStyle name="Billion" xfId="558" xr:uid="{00000000-0005-0000-0000-000031090000}"/>
    <cellStyle name="bjla" xfId="559" xr:uid="{00000000-0005-0000-0000-000032090000}"/>
    <cellStyle name="bl" xfId="560" xr:uid="{00000000-0005-0000-0000-000033090000}"/>
    <cellStyle name="black" xfId="561" xr:uid="{00000000-0005-0000-0000-000034090000}"/>
    <cellStyle name="Black block" xfId="562" xr:uid="{00000000-0005-0000-0000-000035090000}"/>
    <cellStyle name="Black Text" xfId="563" xr:uid="{00000000-0005-0000-0000-000036090000}"/>
    <cellStyle name="Black Text (No Wrap)" xfId="564" xr:uid="{00000000-0005-0000-0000-000037090000}"/>
    <cellStyle name="Black_Feeder" xfId="565" xr:uid="{00000000-0005-0000-0000-000038090000}"/>
    <cellStyle name="BlackStrike" xfId="566" xr:uid="{00000000-0005-0000-0000-000039090000}"/>
    <cellStyle name="BlackText" xfId="567" xr:uid="{00000000-0005-0000-0000-00003A090000}"/>
    <cellStyle name="BlackTitle" xfId="568" xr:uid="{00000000-0005-0000-0000-00003B090000}"/>
    <cellStyle name="Blank" xfId="569" xr:uid="{00000000-0005-0000-0000-00003C090000}"/>
    <cellStyle name="Blank [$]" xfId="570" xr:uid="{00000000-0005-0000-0000-00003D090000}"/>
    <cellStyle name="Blank [%]" xfId="571" xr:uid="{00000000-0005-0000-0000-00003E090000}"/>
    <cellStyle name="Blank [,]" xfId="572" xr:uid="{00000000-0005-0000-0000-00003F090000}"/>
    <cellStyle name="Blank [1$]" xfId="573" xr:uid="{00000000-0005-0000-0000-000040090000}"/>
    <cellStyle name="Blank [1%]" xfId="574" xr:uid="{00000000-0005-0000-0000-000041090000}"/>
    <cellStyle name="Blank [1,]" xfId="575" xr:uid="{00000000-0005-0000-0000-000042090000}"/>
    <cellStyle name="Blank [2$]" xfId="576" xr:uid="{00000000-0005-0000-0000-000043090000}"/>
    <cellStyle name="Blank [2%]" xfId="577" xr:uid="{00000000-0005-0000-0000-000044090000}"/>
    <cellStyle name="Blank [2,]" xfId="578" xr:uid="{00000000-0005-0000-0000-000045090000}"/>
    <cellStyle name="Blank [3$]" xfId="579" xr:uid="{00000000-0005-0000-0000-000046090000}"/>
    <cellStyle name="Blank [3%]" xfId="580" xr:uid="{00000000-0005-0000-0000-000047090000}"/>
    <cellStyle name="Blank [3,]" xfId="581" xr:uid="{00000000-0005-0000-0000-000048090000}"/>
    <cellStyle name="blank_Feeder" xfId="582" xr:uid="{00000000-0005-0000-0000-000049090000}"/>
    <cellStyle name="block" xfId="583" xr:uid="{00000000-0005-0000-0000-00004A090000}"/>
    <cellStyle name="Block Titles" xfId="3485" xr:uid="{00000000-0005-0000-0000-00004B090000}"/>
    <cellStyle name="Block Titles 2" xfId="3808" xr:uid="{00000000-0005-0000-0000-00004C090000}"/>
    <cellStyle name="blp_column_header" xfId="3637" xr:uid="{00000000-0005-0000-0000-00004D090000}"/>
    <cellStyle name="blu" xfId="584" xr:uid="{00000000-0005-0000-0000-00004E090000}"/>
    <cellStyle name="Blue" xfId="585" xr:uid="{00000000-0005-0000-0000-00004F090000}"/>
    <cellStyle name="Blue heading" xfId="3486" xr:uid="{00000000-0005-0000-0000-000050090000}"/>
    <cellStyle name="blue shading" xfId="586" xr:uid="{00000000-0005-0000-0000-000051090000}"/>
    <cellStyle name="Blue Text" xfId="587" xr:uid="{00000000-0005-0000-0000-000052090000}"/>
    <cellStyle name="Blue Text - Ariel 10" xfId="588" xr:uid="{00000000-0005-0000-0000-000053090000}"/>
    <cellStyle name="Blue Title" xfId="3487" xr:uid="{00000000-0005-0000-0000-000054090000}"/>
    <cellStyle name="blue$00" xfId="3488" xr:uid="{00000000-0005-0000-0000-000055090000}"/>
    <cellStyle name="Blue&amp;white" xfId="589" xr:uid="{00000000-0005-0000-0000-000056090000}"/>
    <cellStyle name="Blue_02 Enersys - SAFT Merger_DH" xfId="3489" xr:uid="{00000000-0005-0000-0000-000057090000}"/>
    <cellStyle name="BLuedashZero" xfId="590" xr:uid="{00000000-0005-0000-0000-000058090000}"/>
    <cellStyle name="bluenodec" xfId="591" xr:uid="{00000000-0005-0000-0000-000059090000}"/>
    <cellStyle name="bluepercent" xfId="592" xr:uid="{00000000-0005-0000-0000-00005A090000}"/>
    <cellStyle name="bo" xfId="593" xr:uid="{00000000-0005-0000-0000-00005B090000}"/>
    <cellStyle name="bobby" xfId="594" xr:uid="{00000000-0005-0000-0000-00005C090000}"/>
    <cellStyle name="Body_$Dollars" xfId="595" xr:uid="{00000000-0005-0000-0000-00005D090000}"/>
    <cellStyle name="bold" xfId="596" xr:uid="{00000000-0005-0000-0000-00005E090000}"/>
    <cellStyle name="Bold/Border" xfId="597" xr:uid="{00000000-0005-0000-0000-00005F090000}"/>
    <cellStyle name="BoldText" xfId="598" xr:uid="{00000000-0005-0000-0000-000060090000}"/>
    <cellStyle name="BoldText 2" xfId="3659" xr:uid="{00000000-0005-0000-0000-000061090000}"/>
    <cellStyle name="bord" xfId="3490" xr:uid="{00000000-0005-0000-0000-000062090000}"/>
    <cellStyle name="Border" xfId="599" xr:uid="{00000000-0005-0000-0000-000063090000}"/>
    <cellStyle name="Border Heavy" xfId="600" xr:uid="{00000000-0005-0000-0000-000064090000}"/>
    <cellStyle name="Border Heavy Up" xfId="601" xr:uid="{00000000-0005-0000-0000-000065090000}"/>
    <cellStyle name="Border Thick" xfId="602" xr:uid="{00000000-0005-0000-0000-000066090000}"/>
    <cellStyle name="Border Thin" xfId="603" xr:uid="{00000000-0005-0000-0000-000067090000}"/>
    <cellStyle name="Border Thin Up" xfId="604" xr:uid="{00000000-0005-0000-0000-000068090000}"/>
    <cellStyle name="Border Thin Up 2" xfId="3660" xr:uid="{00000000-0005-0000-0000-000069090000}"/>
    <cellStyle name="Border Thin_040921_Eutelsat_LBOModel_v1" xfId="605" xr:uid="{00000000-0005-0000-0000-00006A090000}"/>
    <cellStyle name="Border Years" xfId="3491" xr:uid="{00000000-0005-0000-0000-00006B090000}"/>
    <cellStyle name="Border, Bottom" xfId="606" xr:uid="{00000000-0005-0000-0000-00006C090000}"/>
    <cellStyle name="Border, Left" xfId="607" xr:uid="{00000000-0005-0000-0000-00006D090000}"/>
    <cellStyle name="Border, Right" xfId="608" xr:uid="{00000000-0005-0000-0000-00006E090000}"/>
    <cellStyle name="Border, Right 2" xfId="3661" xr:uid="{00000000-0005-0000-0000-00006F090000}"/>
    <cellStyle name="Border, Top" xfId="609" xr:uid="{00000000-0005-0000-0000-000070090000}"/>
    <cellStyle name="Border, Top 2" xfId="3662" xr:uid="{00000000-0005-0000-0000-000071090000}"/>
    <cellStyle name="Border_Quasi Rent Illustration" xfId="2255" xr:uid="{00000000-0005-0000-0000-000072090000}"/>
    <cellStyle name="Bottom" xfId="610" xr:uid="{00000000-0005-0000-0000-000073090000}"/>
    <cellStyle name="Bottom bold border" xfId="611" xr:uid="{00000000-0005-0000-0000-000074090000}"/>
    <cellStyle name="Bottom Edge" xfId="612" xr:uid="{00000000-0005-0000-0000-000075090000}"/>
    <cellStyle name="Bottom single border" xfId="613" xr:uid="{00000000-0005-0000-0000-000076090000}"/>
    <cellStyle name="bout" xfId="614" xr:uid="{00000000-0005-0000-0000-000077090000}"/>
    <cellStyle name="bout 2" xfId="3663" xr:uid="{00000000-0005-0000-0000-000078090000}"/>
    <cellStyle name="BoxHeading" xfId="615" xr:uid="{00000000-0005-0000-0000-000079090000}"/>
    <cellStyle name="bp--" xfId="616" xr:uid="{00000000-0005-0000-0000-00007A090000}"/>
    <cellStyle name="Brand Align Left Text" xfId="617" xr:uid="{00000000-0005-0000-0000-00007B090000}"/>
    <cellStyle name="Brand Default" xfId="618" xr:uid="{00000000-0005-0000-0000-00007C090000}"/>
    <cellStyle name="Brand Percent" xfId="619" xr:uid="{00000000-0005-0000-0000-00007D090000}"/>
    <cellStyle name="Brand Source" xfId="620" xr:uid="{00000000-0005-0000-0000-00007E090000}"/>
    <cellStyle name="Brand Subtitle with Underline" xfId="621" xr:uid="{00000000-0005-0000-0000-00007F090000}"/>
    <cellStyle name="Brand Subtitle without Underline" xfId="622" xr:uid="{00000000-0005-0000-0000-000080090000}"/>
    <cellStyle name="Brand Title" xfId="623" xr:uid="{00000000-0005-0000-0000-000081090000}"/>
    <cellStyle name="British Pound" xfId="624" xr:uid="{00000000-0005-0000-0000-000082090000}"/>
    <cellStyle name="BritPound" xfId="625" xr:uid="{00000000-0005-0000-0000-000083090000}"/>
    <cellStyle name="bss0" xfId="626" xr:uid="{00000000-0005-0000-0000-000084090000}"/>
    <cellStyle name="bss0 2" xfId="3664" xr:uid="{00000000-0005-0000-0000-000085090000}"/>
    <cellStyle name="bss2" xfId="627" xr:uid="{00000000-0005-0000-0000-000086090000}"/>
    <cellStyle name="bss2 2" xfId="3665" xr:uid="{00000000-0005-0000-0000-000087090000}"/>
    <cellStyle name="bt" xfId="628" xr:uid="{00000000-0005-0000-0000-000088090000}"/>
    <cellStyle name="btit" xfId="629" xr:uid="{00000000-0005-0000-0000-000089090000}"/>
    <cellStyle name="Bullet" xfId="630" xr:uid="{00000000-0005-0000-0000-00008A090000}"/>
    <cellStyle name="Bullet [0]" xfId="631" xr:uid="{00000000-0005-0000-0000-00008B090000}"/>
    <cellStyle name="Bullet [2]" xfId="632" xr:uid="{00000000-0005-0000-0000-00008C090000}"/>
    <cellStyle name="Bullet [4]" xfId="633" xr:uid="{00000000-0005-0000-0000-00008D090000}"/>
    <cellStyle name="Buyout" xfId="634" xr:uid="{00000000-0005-0000-0000-00008E090000}"/>
    <cellStyle name="bx0" xfId="635" xr:uid="{00000000-0005-0000-0000-00008F090000}"/>
    <cellStyle name="bx1" xfId="636" xr:uid="{00000000-0005-0000-0000-000090090000}"/>
    <cellStyle name="bx2" xfId="637" xr:uid="{00000000-0005-0000-0000-000091090000}"/>
    <cellStyle name="c" xfId="638" xr:uid="{00000000-0005-0000-0000-000092090000}"/>
    <cellStyle name="c 2" xfId="3492" xr:uid="{00000000-0005-0000-0000-000093090000}"/>
    <cellStyle name="c_Accretion (2)" xfId="639" xr:uid="{00000000-0005-0000-0000-000094090000}"/>
    <cellStyle name="c_ad3" xfId="640" xr:uid="{00000000-0005-0000-0000-000095090000}"/>
    <cellStyle name="c_ad5" xfId="641" xr:uid="{00000000-0005-0000-0000-000096090000}"/>
    <cellStyle name="c_asko1" xfId="642" xr:uid="{00000000-0005-0000-0000-000097090000}"/>
    <cellStyle name="c_Bal Sheets (2)" xfId="643" xr:uid="{00000000-0005-0000-0000-000098090000}"/>
    <cellStyle name="c_btr_2" xfId="644" xr:uid="{00000000-0005-0000-0000-000099090000}"/>
    <cellStyle name="c_btr_3" xfId="645" xr:uid="{00000000-0005-0000-0000-00009A090000}"/>
    <cellStyle name="c_Cases (2)" xfId="646" xr:uid="{00000000-0005-0000-0000-00009B090000}"/>
    <cellStyle name="c_Cases (2)_Feeder" xfId="647" xr:uid="{00000000-0005-0000-0000-00009C090000}"/>
    <cellStyle name="c_Cases (2)_M&amp;A Model" xfId="648" xr:uid="{00000000-0005-0000-0000-00009D090000}"/>
    <cellStyle name="c_Cases (2)_M&amp;A projections" xfId="649" xr:uid="{00000000-0005-0000-0000-00009E090000}"/>
    <cellStyle name="c_Cases (3)" xfId="650" xr:uid="{00000000-0005-0000-0000-00009F090000}"/>
    <cellStyle name="c_Cases (4)" xfId="651" xr:uid="{00000000-0005-0000-0000-0000A0090000}"/>
    <cellStyle name="c_Crown" xfId="652" xr:uid="{00000000-0005-0000-0000-0000A1090000}"/>
    <cellStyle name="c_dccmod1" xfId="653" xr:uid="{00000000-0005-0000-0000-0000A2090000}"/>
    <cellStyle name="c_DCF Matrix (2)" xfId="654" xr:uid="{00000000-0005-0000-0000-0000A3090000}"/>
    <cellStyle name="c_DCF Matrix (3)" xfId="655" xr:uid="{00000000-0005-0000-0000-0000A4090000}"/>
    <cellStyle name="c_DCF Matrix (4)" xfId="656" xr:uid="{00000000-0005-0000-0000-0000A5090000}"/>
    <cellStyle name="c_DMPR Sale (2)" xfId="657" xr:uid="{00000000-0005-0000-0000-0000A6090000}"/>
    <cellStyle name="c_Earnings (2)" xfId="658" xr:uid="{00000000-0005-0000-0000-0000A7090000}"/>
    <cellStyle name="c_Earnings (2)_Feeder" xfId="659" xr:uid="{00000000-0005-0000-0000-0000A8090000}"/>
    <cellStyle name="c_Earnings (2)_M&amp;A Model" xfId="660" xr:uid="{00000000-0005-0000-0000-0000A9090000}"/>
    <cellStyle name="c_Earnings (2)_M&amp;A projections" xfId="661" xr:uid="{00000000-0005-0000-0000-0000AA090000}"/>
    <cellStyle name="c_Earn-out (2)" xfId="662" xr:uid="{00000000-0005-0000-0000-0000AB090000}"/>
    <cellStyle name="c_Euro 2 (2)" xfId="663" xr:uid="{00000000-0005-0000-0000-0000AC090000}"/>
    <cellStyle name="c_Euro PICS (2)" xfId="664" xr:uid="{00000000-0005-0000-0000-0000AD090000}"/>
    <cellStyle name="c_Euro PICS (3)" xfId="665" xr:uid="{00000000-0005-0000-0000-0000AE090000}"/>
    <cellStyle name="c_Europe (2)" xfId="666" xr:uid="{00000000-0005-0000-0000-0000AF090000}"/>
    <cellStyle name="c_Feeder" xfId="667" xr:uid="{00000000-0005-0000-0000-0000B0090000}"/>
    <cellStyle name="c_Grouse+Pelican" xfId="668" xr:uid="{00000000-0005-0000-0000-0000B1090000}"/>
    <cellStyle name="c_Hist Inputs (2)" xfId="669" xr:uid="{00000000-0005-0000-0000-0000B2090000}"/>
    <cellStyle name="c_Hist Inputs (3)" xfId="670" xr:uid="{00000000-0005-0000-0000-0000B3090000}"/>
    <cellStyle name="c_Hist Inputs (4)" xfId="671" xr:uid="{00000000-0005-0000-0000-0000B4090000}"/>
    <cellStyle name="c_LBO" xfId="672" xr:uid="{00000000-0005-0000-0000-0000B5090000}"/>
    <cellStyle name="c_LBO IRR (2)" xfId="673" xr:uid="{00000000-0005-0000-0000-0000B6090000}"/>
    <cellStyle name="c_LBO Sens (2)" xfId="674" xr:uid="{00000000-0005-0000-0000-0000B7090000}"/>
    <cellStyle name="c_LBO Summary (2)" xfId="675" xr:uid="{00000000-0005-0000-0000-0000B8090000}"/>
    <cellStyle name="c_lbo_profstaff1" xfId="3493" xr:uid="{00000000-0005-0000-0000-0000B9090000}"/>
    <cellStyle name="c_lbo_profstaff1 2" xfId="3494" xr:uid="{00000000-0005-0000-0000-0000BA090000}"/>
    <cellStyle name="c_lbo1" xfId="676" xr:uid="{00000000-0005-0000-0000-0000BB090000}"/>
    <cellStyle name="c_lbo3" xfId="677" xr:uid="{00000000-0005-0000-0000-0000BC090000}"/>
    <cellStyle name="c_LBO5" xfId="678" xr:uid="{00000000-0005-0000-0000-0000BD090000}"/>
    <cellStyle name="c_M&amp;A Model" xfId="679" xr:uid="{00000000-0005-0000-0000-0000BE090000}"/>
    <cellStyle name="c_M&amp;A projections" xfId="680" xr:uid="{00000000-0005-0000-0000-0000BF090000}"/>
    <cellStyle name="c_Macros" xfId="681" xr:uid="{00000000-0005-0000-0000-0000C0090000}"/>
    <cellStyle name="c_Macros (2)" xfId="682" xr:uid="{00000000-0005-0000-0000-0000C1090000}"/>
    <cellStyle name="c_Manager (2)" xfId="683" xr:uid="{00000000-0005-0000-0000-0000C2090000}"/>
    <cellStyle name="c_mod7" xfId="684" xr:uid="{00000000-0005-0000-0000-0000C3090000}"/>
    <cellStyle name="c_mod9" xfId="685" xr:uid="{00000000-0005-0000-0000-0000C4090000}"/>
    <cellStyle name="c_model1" xfId="686" xr:uid="{00000000-0005-0000-0000-0000C5090000}"/>
    <cellStyle name="c_model6" xfId="687" xr:uid="{00000000-0005-0000-0000-0000C6090000}"/>
    <cellStyle name="c_NOL (2)" xfId="688" xr:uid="{00000000-0005-0000-0000-0000C7090000}"/>
    <cellStyle name="c_PFMA Cap (2)" xfId="689" xr:uid="{00000000-0005-0000-0000-0000C8090000}"/>
    <cellStyle name="c_PFMA Credit (2)" xfId="690" xr:uid="{00000000-0005-0000-0000-0000C9090000}"/>
    <cellStyle name="c_quarterly template" xfId="691" xr:uid="{00000000-0005-0000-0000-0000CA090000}"/>
    <cellStyle name="c_Restructuring (2)" xfId="692" xr:uid="{00000000-0005-0000-0000-0000CB090000}"/>
    <cellStyle name="c_Revised" xfId="693" xr:uid="{00000000-0005-0000-0000-0000CC090000}"/>
    <cellStyle name="c_saft_1" xfId="694" xr:uid="{00000000-0005-0000-0000-0000CD090000}"/>
    <cellStyle name="c_Schedules (2)" xfId="695" xr:uid="{00000000-0005-0000-0000-0000CE090000}"/>
    <cellStyle name="c_Spring Final model" xfId="696" xr:uid="{00000000-0005-0000-0000-0000CF090000}"/>
    <cellStyle name="c_Standalone (2)" xfId="697" xr:uid="{00000000-0005-0000-0000-0000D0090000}"/>
    <cellStyle name="c_Trading Val Calc (2)" xfId="698" xr:uid="{00000000-0005-0000-0000-0000D1090000}"/>
    <cellStyle name="c_Val Sum (2)" xfId="699" xr:uid="{00000000-0005-0000-0000-0000D2090000}"/>
    <cellStyle name="c_WACC benchmarking" xfId="700" xr:uid="{00000000-0005-0000-0000-0000D3090000}"/>
    <cellStyle name="c_WACC benchmarking_Blank LBO Model v15" xfId="701" xr:uid="{00000000-0005-0000-0000-0000D4090000}"/>
    <cellStyle name="c_WACC benchmarking_Crown Holdings  - LBO Model 1.8 covenants_3 Aug" xfId="702" xr:uid="{00000000-0005-0000-0000-0000D5090000}"/>
    <cellStyle name="c_WACC benchmarking_George - LBO Model 3.1" xfId="703" xr:uid="{00000000-0005-0000-0000-0000D6090000}"/>
    <cellStyle name="c_West Ham (2)" xfId="704" xr:uid="{00000000-0005-0000-0000-0000D7090000}"/>
    <cellStyle name="c_Westham (2)" xfId="705" xr:uid="{00000000-0005-0000-0000-0000D8090000}"/>
    <cellStyle name="c_Wool_01_07_12_1999" xfId="706" xr:uid="{00000000-0005-0000-0000-0000D9090000}"/>
    <cellStyle name="c_Wool_14_12_1999_2" xfId="707" xr:uid="{00000000-0005-0000-0000-0000DA090000}"/>
    <cellStyle name="c_Wool_15_02_2000" xfId="708" xr:uid="{00000000-0005-0000-0000-0000DB090000}"/>
    <cellStyle name="c_Wool_28_01_2000_02" xfId="709" xr:uid="{00000000-0005-0000-0000-0000DC090000}"/>
    <cellStyle name="c_WoolEuro_12_04_2000_02" xfId="710" xr:uid="{00000000-0005-0000-0000-0000DD090000}"/>
    <cellStyle name="c_WoolEuro_17_03_2000" xfId="711" xr:uid="{00000000-0005-0000-0000-0000DE090000}"/>
    <cellStyle name="c_WoolEuro_20_03_2000_3" xfId="712" xr:uid="{00000000-0005-0000-0000-0000DF090000}"/>
    <cellStyle name="c_WoolEuroEx_14_04_2000_01" xfId="713" xr:uid="{00000000-0005-0000-0000-0000E0090000}"/>
    <cellStyle name="c0" xfId="714" xr:uid="{00000000-0005-0000-0000-0000E1090000}"/>
    <cellStyle name="c2" xfId="715" xr:uid="{00000000-0005-0000-0000-0000E2090000}"/>
    <cellStyle name="Cabecera 1" xfId="3495" xr:uid="{00000000-0005-0000-0000-0000E3090000}"/>
    <cellStyle name="Cabecera 2" xfId="3496" xr:uid="{00000000-0005-0000-0000-0000E4090000}"/>
    <cellStyle name="cach" xfId="716" xr:uid="{00000000-0005-0000-0000-0000E5090000}"/>
    <cellStyle name="CALC Amount" xfId="2256" xr:uid="{00000000-0005-0000-0000-0000E6090000}"/>
    <cellStyle name="CALC Amount Total" xfId="2257" xr:uid="{00000000-0005-0000-0000-0000E7090000}"/>
    <cellStyle name="CALC Amount Total 2" xfId="3714" xr:uid="{00000000-0005-0000-0000-0000E8090000}"/>
    <cellStyle name="Calc Cells" xfId="3497" xr:uid="{00000000-0005-0000-0000-0000E9090000}"/>
    <cellStyle name="Calc Currency (0)" xfId="717" xr:uid="{00000000-0005-0000-0000-0000EA090000}"/>
    <cellStyle name="Calc Currency (2)" xfId="718" xr:uid="{00000000-0005-0000-0000-0000EB090000}"/>
    <cellStyle name="Calc Percent (0)" xfId="719" xr:uid="{00000000-0005-0000-0000-0000EC090000}"/>
    <cellStyle name="Calc Percent (1)" xfId="720" xr:uid="{00000000-0005-0000-0000-0000ED090000}"/>
    <cellStyle name="Calc Percent (2)" xfId="721" xr:uid="{00000000-0005-0000-0000-0000EE090000}"/>
    <cellStyle name="Calc Units (0)" xfId="722" xr:uid="{00000000-0005-0000-0000-0000EF090000}"/>
    <cellStyle name="Calc Units (1)" xfId="723" xr:uid="{00000000-0005-0000-0000-0000F0090000}"/>
    <cellStyle name="Calc Units (2)" xfId="724" xr:uid="{00000000-0005-0000-0000-0000F1090000}"/>
    <cellStyle name="Calcs" xfId="725" xr:uid="{00000000-0005-0000-0000-0000F2090000}"/>
    <cellStyle name="Calculation 2" xfId="3498" xr:uid="{00000000-0005-0000-0000-0000F3090000}"/>
    <cellStyle name="Calculation 2 2" xfId="3499" xr:uid="{00000000-0005-0000-0000-0000F4090000}"/>
    <cellStyle name="Case" xfId="726" xr:uid="{00000000-0005-0000-0000-0000F5090000}"/>
    <cellStyle name="CashFlow" xfId="727" xr:uid="{00000000-0005-0000-0000-0000F6090000}"/>
    <cellStyle name="CATV Total" xfId="728" xr:uid="{00000000-0005-0000-0000-0000F7090000}"/>
    <cellStyle name="CB" xfId="729" xr:uid="{00000000-0005-0000-0000-0000F8090000}"/>
    <cellStyle name="center" xfId="730" xr:uid="{00000000-0005-0000-0000-0000F9090000}"/>
    <cellStyle name="Cents" xfId="731" xr:uid="{00000000-0005-0000-0000-0000FA090000}"/>
    <cellStyle name="Ch, Column Header" xfId="732" xr:uid="{00000000-0005-0000-0000-0000FB090000}"/>
    <cellStyle name="Change" xfId="733" xr:uid="{00000000-0005-0000-0000-0000FC090000}"/>
    <cellStyle name="Changeable" xfId="734" xr:uid="{00000000-0005-0000-0000-0000FD090000}"/>
    <cellStyle name="Check" xfId="735" xr:uid="{00000000-0005-0000-0000-0000FE090000}"/>
    <cellStyle name="Check Cell 2" xfId="3500" xr:uid="{00000000-0005-0000-0000-0000FF090000}"/>
    <cellStyle name="Check Cell 2 2" xfId="3501" xr:uid="{00000000-0005-0000-0000-0000000A0000}"/>
    <cellStyle name="Choose Number" xfId="736" xr:uid="{00000000-0005-0000-0000-0000010A0000}"/>
    <cellStyle name="CK_BrokersInput" xfId="737" xr:uid="{00000000-0005-0000-0000-0000020A0000}"/>
    <cellStyle name="claire" xfId="3502" xr:uid="{00000000-0005-0000-0000-0000030A0000}"/>
    <cellStyle name="CLEAR" xfId="738" xr:uid="{00000000-0005-0000-0000-0000040A0000}"/>
    <cellStyle name="Client Name" xfId="739" xr:uid="{00000000-0005-0000-0000-0000050A0000}"/>
    <cellStyle name="co" xfId="740" xr:uid="{00000000-0005-0000-0000-0000060A0000}"/>
    <cellStyle name="COL HEADINGS" xfId="741" xr:uid="{00000000-0005-0000-0000-0000070A0000}"/>
    <cellStyle name="Colhead_left" xfId="742" xr:uid="{00000000-0005-0000-0000-0000080A0000}"/>
    <cellStyle name="ColHeading" xfId="743" xr:uid="{00000000-0005-0000-0000-0000090A0000}"/>
    <cellStyle name="colheadleft" xfId="744" xr:uid="{00000000-0005-0000-0000-00000A0A0000}"/>
    <cellStyle name="colheadright" xfId="745" xr:uid="{00000000-0005-0000-0000-00000B0A0000}"/>
    <cellStyle name="Collegamento ipertestuale_MIDI MEDIA1" xfId="3503" xr:uid="{00000000-0005-0000-0000-00000C0A0000}"/>
    <cellStyle name="Column Heading" xfId="746" xr:uid="{00000000-0005-0000-0000-00000D0A0000}"/>
    <cellStyle name="Column Headings" xfId="747" xr:uid="{00000000-0005-0000-0000-00000E0A0000}"/>
    <cellStyle name="Column Title" xfId="748" xr:uid="{00000000-0005-0000-0000-00000F0A0000}"/>
    <cellStyle name="column_heading" xfId="749" xr:uid="{00000000-0005-0000-0000-0000100A0000}"/>
    <cellStyle name="ColumnHead" xfId="750" xr:uid="{00000000-0005-0000-0000-0000110A0000}"/>
    <cellStyle name="ColumnHeaders" xfId="751" xr:uid="{00000000-0005-0000-0000-0000120A0000}"/>
    <cellStyle name="ColumnHeading" xfId="752" xr:uid="{00000000-0005-0000-0000-0000130A0000}"/>
    <cellStyle name="Comma  - Style1" xfId="753" xr:uid="{00000000-0005-0000-0000-0000140A0000}"/>
    <cellStyle name="Comma  - Style2" xfId="754" xr:uid="{00000000-0005-0000-0000-0000150A0000}"/>
    <cellStyle name="Comma  - Style3" xfId="755" xr:uid="{00000000-0005-0000-0000-0000160A0000}"/>
    <cellStyle name="Comma  - Style4" xfId="756" xr:uid="{00000000-0005-0000-0000-0000170A0000}"/>
    <cellStyle name="Comma  - Style5" xfId="757" xr:uid="{00000000-0005-0000-0000-0000180A0000}"/>
    <cellStyle name="Comma  - Style6" xfId="758" xr:uid="{00000000-0005-0000-0000-0000190A0000}"/>
    <cellStyle name="Comma  - Style7" xfId="759" xr:uid="{00000000-0005-0000-0000-00001A0A0000}"/>
    <cellStyle name="Comma  - Style8" xfId="760" xr:uid="{00000000-0005-0000-0000-00001B0A0000}"/>
    <cellStyle name="Comma (0)" xfId="761" xr:uid="{00000000-0005-0000-0000-00001C0A0000}"/>
    <cellStyle name="Comma (0dp)" xfId="762" xr:uid="{00000000-0005-0000-0000-00001D0A0000}"/>
    <cellStyle name="Comma (1dp)" xfId="763" xr:uid="{00000000-0005-0000-0000-00001E0A0000}"/>
    <cellStyle name="Comma (2)" xfId="764" xr:uid="{00000000-0005-0000-0000-00001F0A0000}"/>
    <cellStyle name="Comma (2dp)" xfId="765" xr:uid="{00000000-0005-0000-0000-0000200A0000}"/>
    <cellStyle name="Comma ," xfId="766" xr:uid="{00000000-0005-0000-0000-0000210A0000}"/>
    <cellStyle name="Comma [0] Total" xfId="767" xr:uid="{00000000-0005-0000-0000-0000220A0000}"/>
    <cellStyle name="Comma [0] Total 2" xfId="3666" xr:uid="{00000000-0005-0000-0000-0000230A0000}"/>
    <cellStyle name="Comma [00]" xfId="768" xr:uid="{00000000-0005-0000-0000-0000240A0000}"/>
    <cellStyle name="Comma [1]" xfId="769" xr:uid="{00000000-0005-0000-0000-0000250A0000}"/>
    <cellStyle name="Comma [1] Total" xfId="770" xr:uid="{00000000-0005-0000-0000-0000260A0000}"/>
    <cellStyle name="Comma [1] Total 2" xfId="3667" xr:uid="{00000000-0005-0000-0000-0000270A0000}"/>
    <cellStyle name="Comma [1]_Feeder" xfId="771" xr:uid="{00000000-0005-0000-0000-0000280A0000}"/>
    <cellStyle name="Comma [2]" xfId="772" xr:uid="{00000000-0005-0000-0000-0000290A0000}"/>
    <cellStyle name="Comma [2] Total" xfId="773" xr:uid="{00000000-0005-0000-0000-00002A0A0000}"/>
    <cellStyle name="Comma [2] Total 2" xfId="3668" xr:uid="{00000000-0005-0000-0000-00002B0A0000}"/>
    <cellStyle name="Comma [2]_Funds Flow 01" xfId="774" xr:uid="{00000000-0005-0000-0000-00002C0A0000}"/>
    <cellStyle name="Comma [3]" xfId="775" xr:uid="{00000000-0005-0000-0000-00002D0A0000}"/>
    <cellStyle name="comma [zero]" xfId="776" xr:uid="{00000000-0005-0000-0000-00002E0A0000}"/>
    <cellStyle name="Comma 0" xfId="777" xr:uid="{00000000-0005-0000-0000-00002F0A0000}"/>
    <cellStyle name="Comma 0*" xfId="778" xr:uid="{00000000-0005-0000-0000-0000300A0000}"/>
    <cellStyle name="Comma 10" xfId="1709" xr:uid="{00000000-0005-0000-0000-0000310A0000}"/>
    <cellStyle name="Comma 10 2" xfId="3504" xr:uid="{00000000-0005-0000-0000-0000320A0000}"/>
    <cellStyle name="Comma 10 2 2" xfId="3505" xr:uid="{00000000-0005-0000-0000-0000330A0000}"/>
    <cellStyle name="Comma 10 2 3" xfId="3506" xr:uid="{00000000-0005-0000-0000-0000340A0000}"/>
    <cellStyle name="Comma 10 2 4" xfId="3507" xr:uid="{00000000-0005-0000-0000-0000350A0000}"/>
    <cellStyle name="Comma 10 3" xfId="3508" xr:uid="{00000000-0005-0000-0000-0000360A0000}"/>
    <cellStyle name="Comma 10 3 2" xfId="3509" xr:uid="{00000000-0005-0000-0000-0000370A0000}"/>
    <cellStyle name="Comma 10 3 3" xfId="3510" xr:uid="{00000000-0005-0000-0000-0000380A0000}"/>
    <cellStyle name="Comma 10 3 4" xfId="3511" xr:uid="{00000000-0005-0000-0000-0000390A0000}"/>
    <cellStyle name="Comma 10 4" xfId="3512" xr:uid="{00000000-0005-0000-0000-00003A0A0000}"/>
    <cellStyle name="Comma 10 5" xfId="3513" xr:uid="{00000000-0005-0000-0000-00003B0A0000}"/>
    <cellStyle name="Comma 10 6" xfId="3514" xr:uid="{00000000-0005-0000-0000-00003C0A0000}"/>
    <cellStyle name="Comma 11" xfId="1729" xr:uid="{00000000-0005-0000-0000-00003D0A0000}"/>
    <cellStyle name="Comma 11 2" xfId="3515" xr:uid="{00000000-0005-0000-0000-00003E0A0000}"/>
    <cellStyle name="Comma 11 2 2" xfId="3516" xr:uid="{00000000-0005-0000-0000-00003F0A0000}"/>
    <cellStyle name="Comma 11 2 3" xfId="3517" xr:uid="{00000000-0005-0000-0000-0000400A0000}"/>
    <cellStyle name="Comma 11 2 4" xfId="3518" xr:uid="{00000000-0005-0000-0000-0000410A0000}"/>
    <cellStyle name="Comma 11 3" xfId="3519" xr:uid="{00000000-0005-0000-0000-0000420A0000}"/>
    <cellStyle name="Comma 11 3 2" xfId="3520" xr:uid="{00000000-0005-0000-0000-0000430A0000}"/>
    <cellStyle name="Comma 11 3 3" xfId="3521" xr:uid="{00000000-0005-0000-0000-0000440A0000}"/>
    <cellStyle name="Comma 11 3 4" xfId="3522" xr:uid="{00000000-0005-0000-0000-0000450A0000}"/>
    <cellStyle name="Comma 11 4" xfId="3523" xr:uid="{00000000-0005-0000-0000-0000460A0000}"/>
    <cellStyle name="Comma 11 5" xfId="3524" xr:uid="{00000000-0005-0000-0000-0000470A0000}"/>
    <cellStyle name="Comma 11 6" xfId="3525" xr:uid="{00000000-0005-0000-0000-0000480A0000}"/>
    <cellStyle name="Comma 12" xfId="1732" xr:uid="{00000000-0005-0000-0000-0000490A0000}"/>
    <cellStyle name="Comma 12 2" xfId="3526" xr:uid="{00000000-0005-0000-0000-00004A0A0000}"/>
    <cellStyle name="Comma 12 3" xfId="3527" xr:uid="{00000000-0005-0000-0000-00004B0A0000}"/>
    <cellStyle name="Comma 13" xfId="1737" xr:uid="{00000000-0005-0000-0000-00004C0A0000}"/>
    <cellStyle name="Comma 13 2" xfId="3528" xr:uid="{00000000-0005-0000-0000-00004D0A0000}"/>
    <cellStyle name="Comma 14" xfId="1740" xr:uid="{00000000-0005-0000-0000-00004E0A0000}"/>
    <cellStyle name="Comma 14 2" xfId="3529" xr:uid="{00000000-0005-0000-0000-00004F0A0000}"/>
    <cellStyle name="Comma 15" xfId="1744" xr:uid="{00000000-0005-0000-0000-0000500A0000}"/>
    <cellStyle name="Comma 15 2" xfId="3530" xr:uid="{00000000-0005-0000-0000-0000510A0000}"/>
    <cellStyle name="Comma 16" xfId="2258" xr:uid="{00000000-0005-0000-0000-0000520A0000}"/>
    <cellStyle name="Comma 17" xfId="3531" xr:uid="{00000000-0005-0000-0000-0000530A0000}"/>
    <cellStyle name="Comma 18" xfId="3532" xr:uid="{00000000-0005-0000-0000-0000540A0000}"/>
    <cellStyle name="Comma 19" xfId="3533" xr:uid="{00000000-0005-0000-0000-0000550A0000}"/>
    <cellStyle name="Comma 2" xfId="4" xr:uid="{00000000-0005-0000-0000-0000560A0000}"/>
    <cellStyle name="Comma 2 2" xfId="3534" xr:uid="{00000000-0005-0000-0000-0000570A0000}"/>
    <cellStyle name="Comma 2 2 2" xfId="3535" xr:uid="{00000000-0005-0000-0000-0000580A0000}"/>
    <cellStyle name="Comma 2 3" xfId="3536" xr:uid="{00000000-0005-0000-0000-0000590A0000}"/>
    <cellStyle name="Comma 2 3 3" xfId="3638" xr:uid="{00000000-0005-0000-0000-00005A0A0000}"/>
    <cellStyle name="Comma 2 4" xfId="3537" xr:uid="{00000000-0005-0000-0000-00005B0A0000}"/>
    <cellStyle name="Comma 2 5" xfId="3538" xr:uid="{00000000-0005-0000-0000-00005C0A0000}"/>
    <cellStyle name="Comma 2 6" xfId="3539" xr:uid="{00000000-0005-0000-0000-00005D0A0000}"/>
    <cellStyle name="Comma 2 7" xfId="3540" xr:uid="{00000000-0005-0000-0000-00005E0A0000}"/>
    <cellStyle name="Comma 2 8" xfId="3541" xr:uid="{00000000-0005-0000-0000-00005F0A0000}"/>
    <cellStyle name="Comma 2*" xfId="779" xr:uid="{00000000-0005-0000-0000-0000600A0000}"/>
    <cellStyle name="Comma 2_Accretion_Dilution" xfId="780" xr:uid="{00000000-0005-0000-0000-0000610A0000}"/>
    <cellStyle name="Comma 20" xfId="3542" xr:uid="{00000000-0005-0000-0000-0000620A0000}"/>
    <cellStyle name="Comma 20 2" xfId="3543" xr:uid="{00000000-0005-0000-0000-0000630A0000}"/>
    <cellStyle name="Comma 20 3" xfId="3544" xr:uid="{00000000-0005-0000-0000-0000640A0000}"/>
    <cellStyle name="Comma 20 4" xfId="3545" xr:uid="{00000000-0005-0000-0000-0000650A0000}"/>
    <cellStyle name="Comma 21" xfId="3546" xr:uid="{00000000-0005-0000-0000-0000660A0000}"/>
    <cellStyle name="Comma 22" xfId="3547" xr:uid="{00000000-0005-0000-0000-0000670A0000}"/>
    <cellStyle name="Comma 23" xfId="3548" xr:uid="{00000000-0005-0000-0000-0000680A0000}"/>
    <cellStyle name="Comma 23 2" xfId="3549" xr:uid="{00000000-0005-0000-0000-0000690A0000}"/>
    <cellStyle name="Comma 23 2 2" xfId="3550" xr:uid="{00000000-0005-0000-0000-00006A0A0000}"/>
    <cellStyle name="Comma 24" xfId="3551" xr:uid="{00000000-0005-0000-0000-00006B0A0000}"/>
    <cellStyle name="Comma 25" xfId="3552" xr:uid="{00000000-0005-0000-0000-00006C0A0000}"/>
    <cellStyle name="Comma 26" xfId="3553" xr:uid="{00000000-0005-0000-0000-00006D0A0000}"/>
    <cellStyle name="Comma 26 2" xfId="3554" xr:uid="{00000000-0005-0000-0000-00006E0A0000}"/>
    <cellStyle name="Comma 27" xfId="3555" xr:uid="{00000000-0005-0000-0000-00006F0A0000}"/>
    <cellStyle name="Comma 28" xfId="3556" xr:uid="{00000000-0005-0000-0000-0000700A0000}"/>
    <cellStyle name="Comma 3" xfId="1696" xr:uid="{00000000-0005-0000-0000-0000710A0000}"/>
    <cellStyle name="Comma 3 2" xfId="3557" xr:uid="{00000000-0005-0000-0000-0000720A0000}"/>
    <cellStyle name="Comma 3 2 2" xfId="3558" xr:uid="{00000000-0005-0000-0000-0000730A0000}"/>
    <cellStyle name="Comma 3 3" xfId="3559" xr:uid="{00000000-0005-0000-0000-0000740A0000}"/>
    <cellStyle name="Comma 3 4" xfId="3560" xr:uid="{00000000-0005-0000-0000-0000750A0000}"/>
    <cellStyle name="Comma 3 5" xfId="3561" xr:uid="{00000000-0005-0000-0000-0000760A0000}"/>
    <cellStyle name="Comma 3 6" xfId="3562" xr:uid="{00000000-0005-0000-0000-0000770A0000}"/>
    <cellStyle name="Comma 3*" xfId="781" xr:uid="{00000000-0005-0000-0000-0000780A0000}"/>
    <cellStyle name="Comma 4" xfId="1701" xr:uid="{00000000-0005-0000-0000-0000790A0000}"/>
    <cellStyle name="Comma 4 2" xfId="3563" xr:uid="{00000000-0005-0000-0000-00007A0A0000}"/>
    <cellStyle name="Comma 4 3" xfId="3564" xr:uid="{00000000-0005-0000-0000-00007B0A0000}"/>
    <cellStyle name="Comma 5" xfId="1704" xr:uid="{00000000-0005-0000-0000-00007C0A0000}"/>
    <cellStyle name="Comma 5 2" xfId="3565" xr:uid="{00000000-0005-0000-0000-00007D0A0000}"/>
    <cellStyle name="Comma 5 3" xfId="3566" xr:uid="{00000000-0005-0000-0000-00007E0A0000}"/>
    <cellStyle name="Comma 55" xfId="3639" xr:uid="{00000000-0005-0000-0000-00007F0A0000}"/>
    <cellStyle name="Comma 6" xfId="1720" xr:uid="{00000000-0005-0000-0000-0000800A0000}"/>
    <cellStyle name="Comma 6 2" xfId="3567" xr:uid="{00000000-0005-0000-0000-0000810A0000}"/>
    <cellStyle name="Comma 6 2 2" xfId="3568" xr:uid="{00000000-0005-0000-0000-0000820A0000}"/>
    <cellStyle name="Comma 6 2 3" xfId="3569" xr:uid="{00000000-0005-0000-0000-0000830A0000}"/>
    <cellStyle name="Comma 6 2 4" xfId="3570" xr:uid="{00000000-0005-0000-0000-0000840A0000}"/>
    <cellStyle name="Comma 6 3" xfId="3571" xr:uid="{00000000-0005-0000-0000-0000850A0000}"/>
    <cellStyle name="Comma 6 3 2" xfId="3572" xr:uid="{00000000-0005-0000-0000-0000860A0000}"/>
    <cellStyle name="Comma 6 3 3" xfId="3573" xr:uid="{00000000-0005-0000-0000-0000870A0000}"/>
    <cellStyle name="Comma 6 3 4" xfId="3574" xr:uid="{00000000-0005-0000-0000-0000880A0000}"/>
    <cellStyle name="Comma 6 4" xfId="3575" xr:uid="{00000000-0005-0000-0000-0000890A0000}"/>
    <cellStyle name="Comma 6 5" xfId="3576" xr:uid="{00000000-0005-0000-0000-00008A0A0000}"/>
    <cellStyle name="Comma 6 6" xfId="3577" xr:uid="{00000000-0005-0000-0000-00008B0A0000}"/>
    <cellStyle name="Comma 7" xfId="1724" xr:uid="{00000000-0005-0000-0000-00008C0A0000}"/>
    <cellStyle name="Comma 8" xfId="1711" xr:uid="{00000000-0005-0000-0000-00008D0A0000}"/>
    <cellStyle name="Comma 8 2" xfId="3578" xr:uid="{00000000-0005-0000-0000-00008E0A0000}"/>
    <cellStyle name="Comma 8 2 2" xfId="3579" xr:uid="{00000000-0005-0000-0000-00008F0A0000}"/>
    <cellStyle name="Comma 8 2 3" xfId="3580" xr:uid="{00000000-0005-0000-0000-0000900A0000}"/>
    <cellStyle name="Comma 8 2 4" xfId="3581" xr:uid="{00000000-0005-0000-0000-0000910A0000}"/>
    <cellStyle name="Comma 8 3" xfId="3582" xr:uid="{00000000-0005-0000-0000-0000920A0000}"/>
    <cellStyle name="Comma 8 3 2" xfId="3583" xr:uid="{00000000-0005-0000-0000-0000930A0000}"/>
    <cellStyle name="Comma 8 3 3" xfId="3584" xr:uid="{00000000-0005-0000-0000-0000940A0000}"/>
    <cellStyle name="Comma 8 3 4" xfId="3585" xr:uid="{00000000-0005-0000-0000-0000950A0000}"/>
    <cellStyle name="Comma 8 4" xfId="3586" xr:uid="{00000000-0005-0000-0000-0000960A0000}"/>
    <cellStyle name="Comma 8 5" xfId="3587" xr:uid="{00000000-0005-0000-0000-0000970A0000}"/>
    <cellStyle name="Comma 8 6" xfId="3588" xr:uid="{00000000-0005-0000-0000-0000980A0000}"/>
    <cellStyle name="Comma 9" xfId="1714" xr:uid="{00000000-0005-0000-0000-0000990A0000}"/>
    <cellStyle name="Comma 9 2" xfId="3589" xr:uid="{00000000-0005-0000-0000-00009A0A0000}"/>
    <cellStyle name="Comma 9 2 2" xfId="3590" xr:uid="{00000000-0005-0000-0000-00009B0A0000}"/>
    <cellStyle name="Comma 9 2 3" xfId="3591" xr:uid="{00000000-0005-0000-0000-00009C0A0000}"/>
    <cellStyle name="Comma 9 2 4" xfId="3592" xr:uid="{00000000-0005-0000-0000-00009D0A0000}"/>
    <cellStyle name="Comma 9 3" xfId="3593" xr:uid="{00000000-0005-0000-0000-00009E0A0000}"/>
    <cellStyle name="Comma 9 3 2" xfId="3594" xr:uid="{00000000-0005-0000-0000-00009F0A0000}"/>
    <cellStyle name="Comma 9 3 3" xfId="3595" xr:uid="{00000000-0005-0000-0000-0000A00A0000}"/>
    <cellStyle name="Comma 9 3 4" xfId="3596" xr:uid="{00000000-0005-0000-0000-0000A10A0000}"/>
    <cellStyle name="Comma 9 4" xfId="3597" xr:uid="{00000000-0005-0000-0000-0000A20A0000}"/>
    <cellStyle name="Comma 9 5" xfId="3598" xr:uid="{00000000-0005-0000-0000-0000A30A0000}"/>
    <cellStyle name="Comma 9 6" xfId="3599" xr:uid="{00000000-0005-0000-0000-0000A40A0000}"/>
    <cellStyle name="Comma Cents" xfId="782" xr:uid="{00000000-0005-0000-0000-0000A50A0000}"/>
    <cellStyle name="Comma*" xfId="783" xr:uid="{00000000-0005-0000-0000-0000A60A0000}"/>
    <cellStyle name="Comma, 1 dec" xfId="784" xr:uid="{00000000-0005-0000-0000-0000A70A0000}"/>
    <cellStyle name="Comma, 1dec" xfId="3600" xr:uid="{00000000-0005-0000-0000-0000A80A0000}"/>
    <cellStyle name="Comma[0]" xfId="3601" xr:uid="{00000000-0005-0000-0000-0000A90A0000}"/>
    <cellStyle name="Comma0" xfId="785" xr:uid="{00000000-0005-0000-0000-0000AA0A0000}"/>
    <cellStyle name="Comma1" xfId="786" xr:uid="{00000000-0005-0000-0000-0000AB0A0000}"/>
    <cellStyle name="Comma1 - Style1" xfId="787" xr:uid="{00000000-0005-0000-0000-0000AC0A0000}"/>
    <cellStyle name="Comma2" xfId="788" xr:uid="{00000000-0005-0000-0000-0000AD0A0000}"/>
    <cellStyle name="Comment" xfId="789" xr:uid="{00000000-0005-0000-0000-0000AE0A0000}"/>
    <cellStyle name="Company" xfId="790" xr:uid="{00000000-0005-0000-0000-0000AF0A0000}"/>
    <cellStyle name="Company Name" xfId="791" xr:uid="{00000000-0005-0000-0000-0000B00A0000}"/>
    <cellStyle name="Company_CSC July 24" xfId="3602" xr:uid="{00000000-0005-0000-0000-0000B10A0000}"/>
    <cellStyle name="CompanyName" xfId="792" xr:uid="{00000000-0005-0000-0000-0000B20A0000}"/>
    <cellStyle name="Copy Decimal 0" xfId="3603" xr:uid="{00000000-0005-0000-0000-0000B30A0000}"/>
    <cellStyle name="Copy Decimal 0,00" xfId="3604" xr:uid="{00000000-0005-0000-0000-0000B40A0000}"/>
    <cellStyle name="Copy Percent 0" xfId="3605" xr:uid="{00000000-0005-0000-0000-0000B50A0000}"/>
    <cellStyle name="Copy Percent 0,00" xfId="3606" xr:uid="{00000000-0005-0000-0000-0000B60A0000}"/>
    <cellStyle name="Cost" xfId="3607" xr:uid="{00000000-0005-0000-0000-0000B70A0000}"/>
    <cellStyle name="CountryTitle" xfId="793" xr:uid="{00000000-0005-0000-0000-0000B80A0000}"/>
    <cellStyle name="Cover" xfId="2259" xr:uid="{00000000-0005-0000-0000-0000B90A0000}"/>
    <cellStyle name="Cover Date" xfId="794" xr:uid="{00000000-0005-0000-0000-0000BA0A0000}"/>
    <cellStyle name="Cover Subtitle" xfId="795" xr:uid="{00000000-0005-0000-0000-0000BB0A0000}"/>
    <cellStyle name="Cover Title" xfId="796" xr:uid="{00000000-0005-0000-0000-0000BC0A0000}"/>
    <cellStyle name="cu" xfId="797" xr:uid="{00000000-0005-0000-0000-0000BD0A0000}"/>
    <cellStyle name="CurRatio" xfId="798" xr:uid="{00000000-0005-0000-0000-0000BE0A0000}"/>
    <cellStyle name="Currency--" xfId="799" xr:uid="{00000000-0005-0000-0000-0000BF0A0000}"/>
    <cellStyle name="Currency [0] Total" xfId="800" xr:uid="{00000000-0005-0000-0000-0000C00A0000}"/>
    <cellStyle name="Currency [0] Total 2" xfId="3669" xr:uid="{00000000-0005-0000-0000-0000C10A0000}"/>
    <cellStyle name="Currency [00]" xfId="801" xr:uid="{00000000-0005-0000-0000-0000C20A0000}"/>
    <cellStyle name="Currency [1]" xfId="802" xr:uid="{00000000-0005-0000-0000-0000C30A0000}"/>
    <cellStyle name="Currency [1] Total" xfId="803" xr:uid="{00000000-0005-0000-0000-0000C40A0000}"/>
    <cellStyle name="Currency [1] Total 2" xfId="3670" xr:uid="{00000000-0005-0000-0000-0000C50A0000}"/>
    <cellStyle name="Currency [1]_Feeder" xfId="804" xr:uid="{00000000-0005-0000-0000-0000C60A0000}"/>
    <cellStyle name="Currency [2]" xfId="805" xr:uid="{00000000-0005-0000-0000-0000C70A0000}"/>
    <cellStyle name="Currency [2] Total" xfId="806" xr:uid="{00000000-0005-0000-0000-0000C80A0000}"/>
    <cellStyle name="Currency [2] Total 2" xfId="3671" xr:uid="{00000000-0005-0000-0000-0000C90A0000}"/>
    <cellStyle name="Currency [2]_Feeder" xfId="807" xr:uid="{00000000-0005-0000-0000-0000CA0A0000}"/>
    <cellStyle name="Currency [3]" xfId="808" xr:uid="{00000000-0005-0000-0000-0000CB0A0000}"/>
    <cellStyle name="Currency [B]" xfId="809" xr:uid="{00000000-0005-0000-0000-0000CC0A0000}"/>
    <cellStyle name="Currency 0" xfId="810" xr:uid="{00000000-0005-0000-0000-0000CD0A0000}"/>
    <cellStyle name="Currency 2" xfId="811" xr:uid="{00000000-0005-0000-0000-0000CE0A0000}"/>
    <cellStyle name="Currency 2 Total" xfId="812" xr:uid="{00000000-0005-0000-0000-0000CF0A0000}"/>
    <cellStyle name="Currency 2 Total 2" xfId="3672" xr:uid="{00000000-0005-0000-0000-0000D00A0000}"/>
    <cellStyle name="Currency 2*" xfId="813" xr:uid="{00000000-0005-0000-0000-0000D10A0000}"/>
    <cellStyle name="Currency 2_Accretion_Dilution" xfId="814" xr:uid="{00000000-0005-0000-0000-0000D20A0000}"/>
    <cellStyle name="Currency 3*" xfId="815" xr:uid="{00000000-0005-0000-0000-0000D30A0000}"/>
    <cellStyle name="Currency dollars[0]" xfId="3608" xr:uid="{00000000-0005-0000-0000-0000D40A0000}"/>
    <cellStyle name="Currency Euros" xfId="816" xr:uid="{00000000-0005-0000-0000-0000D50A0000}"/>
    <cellStyle name="Currency$" xfId="817" xr:uid="{00000000-0005-0000-0000-0000D60A0000}"/>
    <cellStyle name="Currency*" xfId="818" xr:uid="{00000000-0005-0000-0000-0000D70A0000}"/>
    <cellStyle name="Currency0" xfId="819" xr:uid="{00000000-0005-0000-0000-0000D80A0000}"/>
    <cellStyle name="Currency1" xfId="2260" xr:uid="{00000000-0005-0000-0000-0000D90A0000}"/>
    <cellStyle name="Currency2" xfId="820" xr:uid="{00000000-0005-0000-0000-0000DA0A0000}"/>
    <cellStyle name="Currencyunder" xfId="3609" xr:uid="{00000000-0005-0000-0000-0000DB0A0000}"/>
    <cellStyle name="Currsmall" xfId="2261" xr:uid="{00000000-0005-0000-0000-0000DC0A0000}"/>
    <cellStyle name="d" xfId="821" xr:uid="{00000000-0005-0000-0000-0000DD0A0000}"/>
    <cellStyle name="Dash" xfId="822" xr:uid="{00000000-0005-0000-0000-0000DE0A0000}"/>
    <cellStyle name="Data" xfId="823" xr:uid="{00000000-0005-0000-0000-0000DF0A0000}"/>
    <cellStyle name="Data Link" xfId="2262" xr:uid="{00000000-0005-0000-0000-0000E00A0000}"/>
    <cellStyle name="DataBold" xfId="824" xr:uid="{00000000-0005-0000-0000-0000E10A0000}"/>
    <cellStyle name="Date" xfId="825" xr:uid="{00000000-0005-0000-0000-0000E20A0000}"/>
    <cellStyle name="Date - d-mmm" xfId="3610" xr:uid="{00000000-0005-0000-0000-0000E30A0000}"/>
    <cellStyle name="Date - d-mmm-yy" xfId="3611" xr:uid="{00000000-0005-0000-0000-0000E40A0000}"/>
    <cellStyle name="Date - mmm-yy" xfId="3612" xr:uid="{00000000-0005-0000-0000-0000E50A0000}"/>
    <cellStyle name="date - Style5" xfId="3613" xr:uid="{00000000-0005-0000-0000-0000E60A0000}"/>
    <cellStyle name="Date [Abbreviated]" xfId="826" xr:uid="{00000000-0005-0000-0000-0000E70A0000}"/>
    <cellStyle name="date [dd mmm]" xfId="827" xr:uid="{00000000-0005-0000-0000-0000E80A0000}"/>
    <cellStyle name="Date [d-mmm-yy]" xfId="828" xr:uid="{00000000-0005-0000-0000-0000E90A0000}"/>
    <cellStyle name="Date [D-M-Y]" xfId="829" xr:uid="{00000000-0005-0000-0000-0000EA0A0000}"/>
    <cellStyle name="Date [Long Europe]" xfId="830" xr:uid="{00000000-0005-0000-0000-0000EB0A0000}"/>
    <cellStyle name="Date [Long U.S.]" xfId="831" xr:uid="{00000000-0005-0000-0000-0000EC0A0000}"/>
    <cellStyle name="Date [M/D/Y]" xfId="832" xr:uid="{00000000-0005-0000-0000-0000ED0A0000}"/>
    <cellStyle name="Date [M/Y]" xfId="833" xr:uid="{00000000-0005-0000-0000-0000EE0A0000}"/>
    <cellStyle name="Date [mm-d-yy]" xfId="834" xr:uid="{00000000-0005-0000-0000-0000EF0A0000}"/>
    <cellStyle name="Date [mm-d-yyyy]" xfId="835" xr:uid="{00000000-0005-0000-0000-0000F00A0000}"/>
    <cellStyle name="date [mmm yy]" xfId="836" xr:uid="{00000000-0005-0000-0000-0000F10A0000}"/>
    <cellStyle name="date [mmm yyyy]" xfId="837" xr:uid="{00000000-0005-0000-0000-0000F20A0000}"/>
    <cellStyle name="Date [mmm-d-yyyy]" xfId="838" xr:uid="{00000000-0005-0000-0000-0000F30A0000}"/>
    <cellStyle name="Date [mmm-yy]" xfId="839" xr:uid="{00000000-0005-0000-0000-0000F40A0000}"/>
    <cellStyle name="Date [mmm-yyyy]" xfId="840" xr:uid="{00000000-0005-0000-0000-0000F50A0000}"/>
    <cellStyle name="Date [M-Y]" xfId="841" xr:uid="{00000000-0005-0000-0000-0000F60A0000}"/>
    <cellStyle name="Date [Short Europe]" xfId="842" xr:uid="{00000000-0005-0000-0000-0000F70A0000}"/>
    <cellStyle name="Date [Short U.S.]" xfId="843" xr:uid="{00000000-0005-0000-0000-0000F80A0000}"/>
    <cellStyle name="Date 2" xfId="3673" xr:uid="{00000000-0005-0000-0000-0000F90A0000}"/>
    <cellStyle name="Date Aligned" xfId="844" xr:uid="{00000000-0005-0000-0000-0000FA0A0000}"/>
    <cellStyle name="Date Aligned*" xfId="845" xr:uid="{00000000-0005-0000-0000-0000FB0A0000}"/>
    <cellStyle name="Date dd-mmm" xfId="2263" xr:uid="{00000000-0005-0000-0000-0000FC0A0000}"/>
    <cellStyle name="Date dd-mmm-yy" xfId="2264" xr:uid="{00000000-0005-0000-0000-0000FD0A0000}"/>
    <cellStyle name="Date mmm-yy" xfId="2265" xr:uid="{00000000-0005-0000-0000-0000FE0A0000}"/>
    <cellStyle name="Date Short" xfId="846" xr:uid="{00000000-0005-0000-0000-0000FF0A0000}"/>
    <cellStyle name="Date, Long" xfId="2266" xr:uid="{00000000-0005-0000-0000-0000000B0000}"/>
    <cellStyle name="Date, Short" xfId="2267" xr:uid="{00000000-0005-0000-0000-0000010B0000}"/>
    <cellStyle name="Date_~7573237" xfId="847" xr:uid="{00000000-0005-0000-0000-0000020B0000}"/>
    <cellStyle name="Date1" xfId="2268" xr:uid="{00000000-0005-0000-0000-0000030B0000}"/>
    <cellStyle name="Date2" xfId="848" xr:uid="{00000000-0005-0000-0000-0000040B0000}"/>
    <cellStyle name="DateLong" xfId="849" xr:uid="{00000000-0005-0000-0000-0000050B0000}"/>
    <cellStyle name="Dates" xfId="850" xr:uid="{00000000-0005-0000-0000-0000060B0000}"/>
    <cellStyle name="DateYear" xfId="851" xr:uid="{00000000-0005-0000-0000-0000070B0000}"/>
    <cellStyle name="Datum" xfId="2269" xr:uid="{00000000-0005-0000-0000-0000080B0000}"/>
    <cellStyle name="David" xfId="3614" xr:uid="{00000000-0005-0000-0000-0000090B0000}"/>
    <cellStyle name="day month" xfId="852" xr:uid="{00000000-0005-0000-0000-00000A0B0000}"/>
    <cellStyle name="days" xfId="853" xr:uid="{00000000-0005-0000-0000-00000B0B0000}"/>
    <cellStyle name="DblLineDollarAcct" xfId="2270" xr:uid="{00000000-0005-0000-0000-00000C0B0000}"/>
    <cellStyle name="DblLinePercent" xfId="2271" xr:uid="{00000000-0005-0000-0000-00000D0B0000}"/>
    <cellStyle name="Decimal" xfId="2272" xr:uid="{00000000-0005-0000-0000-00000E0B0000}"/>
    <cellStyle name="Decimal (negative)" xfId="2273" xr:uid="{00000000-0005-0000-0000-00000F0B0000}"/>
    <cellStyle name="decimal [3]" xfId="854" xr:uid="{00000000-0005-0000-0000-0000100B0000}"/>
    <cellStyle name="decimal [4]" xfId="855" xr:uid="{00000000-0005-0000-0000-0000110B0000}"/>
    <cellStyle name="Decimal 0,0" xfId="3615" xr:uid="{00000000-0005-0000-0000-0000120B0000}"/>
    <cellStyle name="Decimal 0,00" xfId="3616" xr:uid="{00000000-0005-0000-0000-0000130B0000}"/>
    <cellStyle name="Decimal 0,0000" xfId="3617" xr:uid="{00000000-0005-0000-0000-0000140B0000}"/>
    <cellStyle name="default" xfId="3618" xr:uid="{00000000-0005-0000-0000-0000150B0000}"/>
    <cellStyle name="Deviant" xfId="2274" xr:uid="{00000000-0005-0000-0000-0000160B0000}"/>
    <cellStyle name="Dezimal [+line]" xfId="3619" xr:uid="{00000000-0005-0000-0000-0000170B0000}"/>
    <cellStyle name="Dezimal [0]_ !gesamt planIst 94" xfId="3620" xr:uid="{00000000-0005-0000-0000-0000180B0000}"/>
    <cellStyle name="Dezimal +" xfId="3621" xr:uid="{00000000-0005-0000-0000-0000190B0000}"/>
    <cellStyle name="Dezimal + 0" xfId="3622" xr:uid="{00000000-0005-0000-0000-00001A0B0000}"/>
    <cellStyle name="Dezimal__Utopia Index Index und Guidance (Deutsch)" xfId="856" xr:uid="{00000000-0005-0000-0000-00001B0B0000}"/>
    <cellStyle name="Dia" xfId="857" xr:uid="{00000000-0005-0000-0000-00001C0B0000}"/>
    <cellStyle name="d-mmm-yy" xfId="858" xr:uid="{00000000-0005-0000-0000-00001D0B0000}"/>
    <cellStyle name="Dollar" xfId="859" xr:uid="{00000000-0005-0000-0000-00001E0B0000}"/>
    <cellStyle name="Dollar1" xfId="2275" xr:uid="{00000000-0005-0000-0000-00001F0B0000}"/>
    <cellStyle name="Dollar1Blue" xfId="2276" xr:uid="{00000000-0005-0000-0000-0000200B0000}"/>
    <cellStyle name="Dollar2" xfId="2277" xr:uid="{00000000-0005-0000-0000-0000210B0000}"/>
    <cellStyle name="DollarAccounting" xfId="2278" xr:uid="{00000000-0005-0000-0000-0000220B0000}"/>
    <cellStyle name="dollars" xfId="860" xr:uid="{00000000-0005-0000-0000-0000230B0000}"/>
    <cellStyle name="Dollars No Decimal" xfId="861" xr:uid="{00000000-0005-0000-0000-0000240B0000}"/>
    <cellStyle name="Dollars One Decimal" xfId="862" xr:uid="{00000000-0005-0000-0000-0000250B0000}"/>
    <cellStyle name="Dollars_MD 1 model_blank_Augustin" xfId="863" xr:uid="{00000000-0005-0000-0000-0000260B0000}"/>
    <cellStyle name="DollarWhole" xfId="864" xr:uid="{00000000-0005-0000-0000-0000270B0000}"/>
    <cellStyle name="Dotted Line" xfId="865" xr:uid="{00000000-0005-0000-0000-0000280B0000}"/>
    <cellStyle name="Double Accounting" xfId="866" xr:uid="{00000000-0005-0000-0000-0000290B0000}"/>
    <cellStyle name="Double Underline" xfId="867" xr:uid="{00000000-0005-0000-0000-00002A0B0000}"/>
    <cellStyle name="Download" xfId="868" xr:uid="{00000000-0005-0000-0000-00002B0B0000}"/>
    <cellStyle name="Driver" xfId="869" xr:uid="{00000000-0005-0000-0000-00002C0B0000}"/>
    <cellStyle name="Driver Lable" xfId="870" xr:uid="{00000000-0005-0000-0000-00002D0B0000}"/>
    <cellStyle name="Driver_Feeder" xfId="871" xr:uid="{00000000-0005-0000-0000-00002E0B0000}"/>
    <cellStyle name="Encabez1" xfId="872" xr:uid="{00000000-0005-0000-0000-00002F0B0000}"/>
    <cellStyle name="Encabez2" xfId="873" xr:uid="{00000000-0005-0000-0000-0000300B0000}"/>
    <cellStyle name="End Table" xfId="874" xr:uid="{00000000-0005-0000-0000-0000310B0000}"/>
    <cellStyle name="Enter Currency (0)" xfId="875" xr:uid="{00000000-0005-0000-0000-0000320B0000}"/>
    <cellStyle name="Enter Currency (2)" xfId="876" xr:uid="{00000000-0005-0000-0000-0000330B0000}"/>
    <cellStyle name="Enter Units (0)" xfId="877" xr:uid="{00000000-0005-0000-0000-0000340B0000}"/>
    <cellStyle name="Enter Units (1)" xfId="878" xr:uid="{00000000-0005-0000-0000-0000350B0000}"/>
    <cellStyle name="Enter Units (2)" xfId="879" xr:uid="{00000000-0005-0000-0000-0000360B0000}"/>
    <cellStyle name="EPS" xfId="880" xr:uid="{00000000-0005-0000-0000-0000370B0000}"/>
    <cellStyle name="EPSActual" xfId="881" xr:uid="{00000000-0005-0000-0000-0000380B0000}"/>
    <cellStyle name="EPSEstimate" xfId="882" xr:uid="{00000000-0005-0000-0000-0000390B0000}"/>
    <cellStyle name="Estimate" xfId="883" xr:uid="{00000000-0005-0000-0000-00003A0B0000}"/>
    <cellStyle name="Euro" xfId="884" xr:uid="{00000000-0005-0000-0000-00003B0B0000}"/>
    <cellStyle name="Euro Millions" xfId="885" xr:uid="{00000000-0005-0000-0000-00003C0B0000}"/>
    <cellStyle name="Euro_Bertelsmann_with Ratings Adj vs.2" xfId="886" xr:uid="{00000000-0005-0000-0000-00003D0B0000}"/>
    <cellStyle name="Euros No Decimal" xfId="887" xr:uid="{00000000-0005-0000-0000-00003E0B0000}"/>
    <cellStyle name="Euros One Decimal" xfId="888" xr:uid="{00000000-0005-0000-0000-00003F0B0000}"/>
    <cellStyle name="EY House" xfId="889" xr:uid="{00000000-0005-0000-0000-0000400B0000}"/>
    <cellStyle name="EY Narrative text" xfId="2279" xr:uid="{00000000-0005-0000-0000-0000410B0000}"/>
    <cellStyle name="EY%colcalc" xfId="890" xr:uid="{00000000-0005-0000-0000-0000420B0000}"/>
    <cellStyle name="EY%input" xfId="891" xr:uid="{00000000-0005-0000-0000-0000430B0000}"/>
    <cellStyle name="EY%rowcalc" xfId="892" xr:uid="{00000000-0005-0000-0000-0000440B0000}"/>
    <cellStyle name="EY0dp" xfId="893" xr:uid="{00000000-0005-0000-0000-0000450B0000}"/>
    <cellStyle name="EY1dp" xfId="894" xr:uid="{00000000-0005-0000-0000-0000460B0000}"/>
    <cellStyle name="EY2dp" xfId="895" xr:uid="{00000000-0005-0000-0000-0000470B0000}"/>
    <cellStyle name="EY3dp" xfId="896" xr:uid="{00000000-0005-0000-0000-0000480B0000}"/>
    <cellStyle name="EYChartTitle" xfId="2280" xr:uid="{00000000-0005-0000-0000-0000490B0000}"/>
    <cellStyle name="EYColumnHeading" xfId="897" xr:uid="{00000000-0005-0000-0000-00004A0B0000}"/>
    <cellStyle name="EYColumnHeadingItalic" xfId="2281" xr:uid="{00000000-0005-0000-0000-00004B0B0000}"/>
    <cellStyle name="EYCoverDatabookName" xfId="2282" xr:uid="{00000000-0005-0000-0000-00004C0B0000}"/>
    <cellStyle name="EYCoverDate" xfId="2283" xr:uid="{00000000-0005-0000-0000-00004D0B0000}"/>
    <cellStyle name="EYCoverDraft" xfId="2284" xr:uid="{00000000-0005-0000-0000-00004E0B0000}"/>
    <cellStyle name="EYCoverProjectName" xfId="2285" xr:uid="{00000000-0005-0000-0000-00004F0B0000}"/>
    <cellStyle name="EYCurrency" xfId="2286" xr:uid="{00000000-0005-0000-0000-0000500B0000}"/>
    <cellStyle name="EYHeading1" xfId="898" xr:uid="{00000000-0005-0000-0000-0000510B0000}"/>
    <cellStyle name="EYheading2" xfId="899" xr:uid="{00000000-0005-0000-0000-0000520B0000}"/>
    <cellStyle name="EYheading3" xfId="900" xr:uid="{00000000-0005-0000-0000-0000530B0000}"/>
    <cellStyle name="EYNotes" xfId="2287" xr:uid="{00000000-0005-0000-0000-0000540B0000}"/>
    <cellStyle name="EYNotesHeading" xfId="2288" xr:uid="{00000000-0005-0000-0000-0000550B0000}"/>
    <cellStyle name="EYnumber" xfId="901" xr:uid="{00000000-0005-0000-0000-0000560B0000}"/>
    <cellStyle name="EYSectionHeading" xfId="2289" xr:uid="{00000000-0005-0000-0000-0000570B0000}"/>
    <cellStyle name="EYSheetHeader1" xfId="902" xr:uid="{00000000-0005-0000-0000-0000580B0000}"/>
    <cellStyle name="EYSheetHeading" xfId="2290" xr:uid="{00000000-0005-0000-0000-0000590B0000}"/>
    <cellStyle name="EYsmallheading" xfId="2291" xr:uid="{00000000-0005-0000-0000-00005A0B0000}"/>
    <cellStyle name="EYSource" xfId="2292" xr:uid="{00000000-0005-0000-0000-00005B0B0000}"/>
    <cellStyle name="EYtext" xfId="903" xr:uid="{00000000-0005-0000-0000-00005C0B0000}"/>
    <cellStyle name="EYtextbold" xfId="2293" xr:uid="{00000000-0005-0000-0000-00005D0B0000}"/>
    <cellStyle name="EYtextbolditalic" xfId="2294" xr:uid="{00000000-0005-0000-0000-00005E0B0000}"/>
    <cellStyle name="EYtextitalic" xfId="2295" xr:uid="{00000000-0005-0000-0000-00005F0B0000}"/>
    <cellStyle name="fact" xfId="904" xr:uid="{00000000-0005-0000-0000-0000600B0000}"/>
    <cellStyle name="Factor" xfId="1746" xr:uid="{00000000-0005-0000-0000-0000610B0000}"/>
    <cellStyle name="Fest" xfId="2296" xr:uid="{00000000-0005-0000-0000-0000620B0000}"/>
    <cellStyle name="Fijo" xfId="905" xr:uid="{00000000-0005-0000-0000-0000630B0000}"/>
    <cellStyle name="Financiero" xfId="906" xr:uid="{00000000-0005-0000-0000-0000640B0000}"/>
    <cellStyle name="Fixed" xfId="907" xr:uid="{00000000-0005-0000-0000-0000650B0000}"/>
    <cellStyle name="Fixed [0]" xfId="908" xr:uid="{00000000-0005-0000-0000-0000660B0000}"/>
    <cellStyle name="Fixed_Bertelsmann_with Ratings Adj vs.2" xfId="909" xr:uid="{00000000-0005-0000-0000-0000670B0000}"/>
    <cellStyle name="Fixlong" xfId="2297" xr:uid="{00000000-0005-0000-0000-0000680B0000}"/>
    <cellStyle name="Footer SBILogo1" xfId="910" xr:uid="{00000000-0005-0000-0000-0000690B0000}"/>
    <cellStyle name="Footer SBILogo2" xfId="911" xr:uid="{00000000-0005-0000-0000-00006A0B0000}"/>
    <cellStyle name="Footnote" xfId="912" xr:uid="{00000000-0005-0000-0000-00006B0B0000}"/>
    <cellStyle name="Footnote Reference" xfId="913" xr:uid="{00000000-0005-0000-0000-00006C0B0000}"/>
    <cellStyle name="Footnote_comments" xfId="914" xr:uid="{00000000-0005-0000-0000-00006D0B0000}"/>
    <cellStyle name="Formula" xfId="2298" xr:uid="{00000000-0005-0000-0000-00006E0B0000}"/>
    <cellStyle name="Formule" xfId="2299" xr:uid="{00000000-0005-0000-0000-00006F0B0000}"/>
    <cellStyle name="Fraction" xfId="915" xr:uid="{00000000-0005-0000-0000-0000700B0000}"/>
    <cellStyle name="Fraction [8]" xfId="916" xr:uid="{00000000-0005-0000-0000-0000710B0000}"/>
    <cellStyle name="Fraction [Bl]" xfId="917" xr:uid="{00000000-0005-0000-0000-0000720B0000}"/>
    <cellStyle name="Fraction_Feeder" xfId="918" xr:uid="{00000000-0005-0000-0000-0000730B0000}"/>
    <cellStyle name="General" xfId="919" xr:uid="{00000000-0005-0000-0000-0000740B0000}"/>
    <cellStyle name="General [C]" xfId="920" xr:uid="{00000000-0005-0000-0000-0000750B0000}"/>
    <cellStyle name="General [R]" xfId="921" xr:uid="{00000000-0005-0000-0000-0000760B0000}"/>
    <cellStyle name="General heading" xfId="3640" xr:uid="{00000000-0005-0000-0000-0000770B0000}"/>
    <cellStyle name="Global" xfId="922" xr:uid="{00000000-0005-0000-0000-0000780B0000}"/>
    <cellStyle name="Grey" xfId="923" xr:uid="{00000000-0005-0000-0000-0000790B0000}"/>
    <cellStyle name="GrowthRate" xfId="924" xr:uid="{00000000-0005-0000-0000-00007A0B0000}"/>
    <cellStyle name="GrowthSeq" xfId="925" xr:uid="{00000000-0005-0000-0000-00007B0B0000}"/>
    <cellStyle name="GWN Table Body" xfId="2300" xr:uid="{00000000-0005-0000-0000-00007C0B0000}"/>
    <cellStyle name="GWN Table Header" xfId="2301" xr:uid="{00000000-0005-0000-0000-00007D0B0000}"/>
    <cellStyle name="GWN Table Left Header" xfId="2302" xr:uid="{00000000-0005-0000-0000-00007E0B0000}"/>
    <cellStyle name="GWN Table Note" xfId="2303" xr:uid="{00000000-0005-0000-0000-00007F0B0000}"/>
    <cellStyle name="GWN Table Title" xfId="2304" xr:uid="{00000000-0005-0000-0000-0000800B0000}"/>
    <cellStyle name="H 2" xfId="2305" xr:uid="{00000000-0005-0000-0000-0000810B0000}"/>
    <cellStyle name="H Acct 1" xfId="926" xr:uid="{00000000-0005-0000-0000-0000820B0000}"/>
    <cellStyle name="H Acct 1,$" xfId="927" xr:uid="{00000000-0005-0000-0000-0000830B0000}"/>
    <cellStyle name="haeding 2" xfId="928" xr:uid="{00000000-0005-0000-0000-0000840B0000}"/>
    <cellStyle name="hard" xfId="929" xr:uid="{00000000-0005-0000-0000-0000850B0000}"/>
    <cellStyle name="Hard code" xfId="930" xr:uid="{00000000-0005-0000-0000-0000860B0000}"/>
    <cellStyle name="Hard code %" xfId="931" xr:uid="{00000000-0005-0000-0000-0000870B0000}"/>
    <cellStyle name="Hard code_5y FVebitda" xfId="932" xr:uid="{00000000-0005-0000-0000-0000880B0000}"/>
    <cellStyle name="Hard nb" xfId="933" xr:uid="{00000000-0005-0000-0000-0000890B0000}"/>
    <cellStyle name="hard no" xfId="934" xr:uid="{00000000-0005-0000-0000-00008A0B0000}"/>
    <cellStyle name="hard no." xfId="935" xr:uid="{00000000-0005-0000-0000-00008B0B0000}"/>
    <cellStyle name="Hard Percent" xfId="936" xr:uid="{00000000-0005-0000-0000-00008C0B0000}"/>
    <cellStyle name="hard_5y FVebitda" xfId="937" xr:uid="{00000000-0005-0000-0000-00008D0B0000}"/>
    <cellStyle name="Hardcoded" xfId="938" xr:uid="{00000000-0005-0000-0000-00008E0B0000}"/>
    <cellStyle name="hardno" xfId="2306" xr:uid="{00000000-0005-0000-0000-00008F0B0000}"/>
    <cellStyle name="head1" xfId="939" xr:uid="{00000000-0005-0000-0000-0000900B0000}"/>
    <cellStyle name="head2" xfId="940" xr:uid="{00000000-0005-0000-0000-0000910B0000}"/>
    <cellStyle name="Header" xfId="941" xr:uid="{00000000-0005-0000-0000-0000920B0000}"/>
    <cellStyle name="header 2" xfId="1697" xr:uid="{00000000-0005-0000-0000-0000930B0000}"/>
    <cellStyle name="Header Draft Stamp" xfId="942" xr:uid="{00000000-0005-0000-0000-0000940B0000}"/>
    <cellStyle name="Header_LBO" xfId="943" xr:uid="{00000000-0005-0000-0000-0000950B0000}"/>
    <cellStyle name="Header1" xfId="944" xr:uid="{00000000-0005-0000-0000-0000960B0000}"/>
    <cellStyle name="Header2" xfId="945" xr:uid="{00000000-0005-0000-0000-0000970B0000}"/>
    <cellStyle name="Heading" xfId="946" xr:uid="{00000000-0005-0000-0000-0000980B0000}"/>
    <cellStyle name="Heading 1" xfId="3628" builtinId="16"/>
    <cellStyle name="Heading 1 Above" xfId="947" xr:uid="{00000000-0005-0000-0000-00009A0B0000}"/>
    <cellStyle name="Heading 1+" xfId="948" xr:uid="{00000000-0005-0000-0000-00009B0B0000}"/>
    <cellStyle name="Heading 2 2" xfId="3641" xr:uid="{00000000-0005-0000-0000-00009C0B0000}"/>
    <cellStyle name="Heading 2 Below" xfId="949" xr:uid="{00000000-0005-0000-0000-00009D0B0000}"/>
    <cellStyle name="Heading 2+" xfId="950" xr:uid="{00000000-0005-0000-0000-00009E0B0000}"/>
    <cellStyle name="Heading 3+" xfId="951" xr:uid="{00000000-0005-0000-0000-00009F0B0000}"/>
    <cellStyle name="Heading 5" xfId="952" xr:uid="{00000000-0005-0000-0000-0000A00B0000}"/>
    <cellStyle name="Heading1" xfId="953" xr:uid="{00000000-0005-0000-0000-0000A10B0000}"/>
    <cellStyle name="Heading2" xfId="954" xr:uid="{00000000-0005-0000-0000-0000A20B0000}"/>
    <cellStyle name="Heading3" xfId="955" xr:uid="{00000000-0005-0000-0000-0000A30B0000}"/>
    <cellStyle name="Hidden" xfId="956" xr:uid="{00000000-0005-0000-0000-0000A40B0000}"/>
    <cellStyle name="hide" xfId="957" xr:uid="{00000000-0005-0000-0000-0000A50B0000}"/>
    <cellStyle name="Highlight" xfId="958" xr:uid="{00000000-0005-0000-0000-0000A60B0000}"/>
    <cellStyle name="Hist_perc" xfId="959" xr:uid="{00000000-0005-0000-0000-0000A70B0000}"/>
    <cellStyle name="Historic" xfId="960" xr:uid="{00000000-0005-0000-0000-0000A80B0000}"/>
    <cellStyle name="Historical" xfId="3642" xr:uid="{00000000-0005-0000-0000-0000A90B0000}"/>
    <cellStyle name="historical #" xfId="961" xr:uid="{00000000-0005-0000-0000-0000AA0B0000}"/>
    <cellStyle name="historical %" xfId="962" xr:uid="{00000000-0005-0000-0000-0000AB0B0000}"/>
    <cellStyle name="ht" xfId="963" xr:uid="{00000000-0005-0000-0000-0000AC0B0000}"/>
    <cellStyle name="Hyperlink" xfId="1" builtinId="8" customBuiltin="1"/>
    <cellStyle name="IBESInput" xfId="964" xr:uid="{00000000-0005-0000-0000-0000AE0B0000}"/>
    <cellStyle name="Important" xfId="2307" xr:uid="{00000000-0005-0000-0000-0000AF0B0000}"/>
    <cellStyle name="Imput" xfId="965" xr:uid="{00000000-0005-0000-0000-0000B00B0000}"/>
    <cellStyle name="IncomeStatement" xfId="966" xr:uid="{00000000-0005-0000-0000-0000B10B0000}"/>
    <cellStyle name="Indent1" xfId="2308" xr:uid="{00000000-0005-0000-0000-0000B20B0000}"/>
    <cellStyle name="Indented [0]" xfId="967" xr:uid="{00000000-0005-0000-0000-0000B30B0000}"/>
    <cellStyle name="Indented [2]" xfId="968" xr:uid="{00000000-0005-0000-0000-0000B40B0000}"/>
    <cellStyle name="Indented [4]" xfId="969" xr:uid="{00000000-0005-0000-0000-0000B50B0000}"/>
    <cellStyle name="Indented [6]" xfId="970" xr:uid="{00000000-0005-0000-0000-0000B60B0000}"/>
    <cellStyle name="inpt" xfId="971" xr:uid="{00000000-0005-0000-0000-0000B70B0000}"/>
    <cellStyle name="Input %" xfId="972" xr:uid="{00000000-0005-0000-0000-0000B80B0000}"/>
    <cellStyle name="Input % (1dp)" xfId="973" xr:uid="{00000000-0005-0000-0000-0000B90B0000}"/>
    <cellStyle name="Input [yellow]" xfId="974" xr:uid="{00000000-0005-0000-0000-0000BA0B0000}"/>
    <cellStyle name="Input 0" xfId="975" xr:uid="{00000000-0005-0000-0000-0000BB0B0000}"/>
    <cellStyle name="Input 0,0" xfId="976" xr:uid="{00000000-0005-0000-0000-0000BC0B0000}"/>
    <cellStyle name="Input 10" xfId="1710" xr:uid="{00000000-0005-0000-0000-0000BD0B0000}"/>
    <cellStyle name="Input 10 2" xfId="3704" xr:uid="{00000000-0005-0000-0000-0000BE0B0000}"/>
    <cellStyle name="Input 11" xfId="1730" xr:uid="{00000000-0005-0000-0000-0000BF0B0000}"/>
    <cellStyle name="Input 11 2" xfId="3709" xr:uid="{00000000-0005-0000-0000-0000C00B0000}"/>
    <cellStyle name="Input 12" xfId="1731" xr:uid="{00000000-0005-0000-0000-0000C10B0000}"/>
    <cellStyle name="Input 12 2" xfId="3710" xr:uid="{00000000-0005-0000-0000-0000C20B0000}"/>
    <cellStyle name="Input 13" xfId="1738" xr:uid="{00000000-0005-0000-0000-0000C30B0000}"/>
    <cellStyle name="Input 13 2" xfId="3711" xr:uid="{00000000-0005-0000-0000-0000C40B0000}"/>
    <cellStyle name="Input 14" xfId="1739" xr:uid="{00000000-0005-0000-0000-0000C50B0000}"/>
    <cellStyle name="Input 14 2" xfId="3712" xr:uid="{00000000-0005-0000-0000-0000C60B0000}"/>
    <cellStyle name="Input 2" xfId="1687" xr:uid="{00000000-0005-0000-0000-0000C70B0000}"/>
    <cellStyle name="Input 2 2" xfId="3699" xr:uid="{00000000-0005-0000-0000-0000C80B0000}"/>
    <cellStyle name="Input 3" xfId="1698" xr:uid="{00000000-0005-0000-0000-0000C90B0000}"/>
    <cellStyle name="Input 3 2" xfId="3701" xr:uid="{00000000-0005-0000-0000-0000CA0B0000}"/>
    <cellStyle name="Input 4" xfId="1702" xr:uid="{00000000-0005-0000-0000-0000CB0B0000}"/>
    <cellStyle name="Input 4 2" xfId="3702" xr:uid="{00000000-0005-0000-0000-0000CC0B0000}"/>
    <cellStyle name="Input 5" xfId="1703" xr:uid="{00000000-0005-0000-0000-0000CD0B0000}"/>
    <cellStyle name="Input 5 2" xfId="3703" xr:uid="{00000000-0005-0000-0000-0000CE0B0000}"/>
    <cellStyle name="Input 6" xfId="1719" xr:uid="{00000000-0005-0000-0000-0000CF0B0000}"/>
    <cellStyle name="Input 6 2" xfId="3707" xr:uid="{00000000-0005-0000-0000-0000D00B0000}"/>
    <cellStyle name="Input 7" xfId="1725" xr:uid="{00000000-0005-0000-0000-0000D10B0000}"/>
    <cellStyle name="Input 7 2" xfId="3708" xr:uid="{00000000-0005-0000-0000-0000D20B0000}"/>
    <cellStyle name="Input 8" xfId="1712" xr:uid="{00000000-0005-0000-0000-0000D30B0000}"/>
    <cellStyle name="Input 8 2" xfId="3705" xr:uid="{00000000-0005-0000-0000-0000D40B0000}"/>
    <cellStyle name="Input 9" xfId="1713" xr:uid="{00000000-0005-0000-0000-0000D50B0000}"/>
    <cellStyle name="Input 9 2" xfId="3706" xr:uid="{00000000-0005-0000-0000-0000D60B0000}"/>
    <cellStyle name="Input Cells" xfId="1747" xr:uid="{00000000-0005-0000-0000-0000D70B0000}"/>
    <cellStyle name="Input comma" xfId="977" xr:uid="{00000000-0005-0000-0000-0000D80B0000}"/>
    <cellStyle name="Input Currency" xfId="978" xr:uid="{00000000-0005-0000-0000-0000D90B0000}"/>
    <cellStyle name="Input Date" xfId="979" xr:uid="{00000000-0005-0000-0000-0000DA0B0000}"/>
    <cellStyle name="Input Fixed [0]" xfId="980" xr:uid="{00000000-0005-0000-0000-0000DB0B0000}"/>
    <cellStyle name="Input Link" xfId="981" xr:uid="{00000000-0005-0000-0000-0000DC0B0000}"/>
    <cellStyle name="Input multiple" xfId="982" xr:uid="{00000000-0005-0000-0000-0000DD0B0000}"/>
    <cellStyle name="Input Normal" xfId="983" xr:uid="{00000000-0005-0000-0000-0000DE0B0000}"/>
    <cellStyle name="Input Number" xfId="3643" xr:uid="{00000000-0005-0000-0000-0000DF0B0000}"/>
    <cellStyle name="Input number (0dp)" xfId="984" xr:uid="{00000000-0005-0000-0000-0000E00B0000}"/>
    <cellStyle name="Input number (1dp)" xfId="985" xr:uid="{00000000-0005-0000-0000-0000E10B0000}"/>
    <cellStyle name="Input Number Normal" xfId="986" xr:uid="{00000000-0005-0000-0000-0000E20B0000}"/>
    <cellStyle name="Input Percent" xfId="987" xr:uid="{00000000-0005-0000-0000-0000E30B0000}"/>
    <cellStyle name="Input Percent [2]" xfId="988" xr:uid="{00000000-0005-0000-0000-0000E40B0000}"/>
    <cellStyle name="Input Percent_Bertelsmann_with Ratings Adj vs.2" xfId="989" xr:uid="{00000000-0005-0000-0000-0000E50B0000}"/>
    <cellStyle name="Input Titles" xfId="990" xr:uid="{00000000-0005-0000-0000-0000E60B0000}"/>
    <cellStyle name="Input$" xfId="991" xr:uid="{00000000-0005-0000-0000-0000E70B0000}"/>
    <cellStyle name="Input%" xfId="992" xr:uid="{00000000-0005-0000-0000-0000E80B0000}"/>
    <cellStyle name="Input0dec" xfId="993" xr:uid="{00000000-0005-0000-0000-0000E90B0000}"/>
    <cellStyle name="Input2dec" xfId="994" xr:uid="{00000000-0005-0000-0000-0000EA0B0000}"/>
    <cellStyle name="InputBlueFont" xfId="995" xr:uid="{00000000-0005-0000-0000-0000EB0B0000}"/>
    <cellStyle name="InputBlueFontLocked" xfId="996" xr:uid="{00000000-0005-0000-0000-0000EC0B0000}"/>
    <cellStyle name="InputCurrency" xfId="997" xr:uid="{00000000-0005-0000-0000-0000ED0B0000}"/>
    <cellStyle name="InputCurrency2" xfId="998" xr:uid="{00000000-0005-0000-0000-0000EE0B0000}"/>
    <cellStyle name="InputDate" xfId="999" xr:uid="{00000000-0005-0000-0000-0000EF0B0000}"/>
    <cellStyle name="InputDate 2" xfId="3674" xr:uid="{00000000-0005-0000-0000-0000F00B0000}"/>
    <cellStyle name="InputHead" xfId="1000" xr:uid="{00000000-0005-0000-0000-0000F10B0000}"/>
    <cellStyle name="InputMultiple1" xfId="1001" xr:uid="{00000000-0005-0000-0000-0000F20B0000}"/>
    <cellStyle name="InputPercent" xfId="1002" xr:uid="{00000000-0005-0000-0000-0000F30B0000}"/>
    <cellStyle name="InputPercent1" xfId="1003" xr:uid="{00000000-0005-0000-0000-0000F40B0000}"/>
    <cellStyle name="InputPop" xfId="1004" xr:uid="{00000000-0005-0000-0000-0000F50B0000}"/>
    <cellStyle name="Integer" xfId="1005" xr:uid="{00000000-0005-0000-0000-0000F60B0000}"/>
    <cellStyle name="Item" xfId="1006" xr:uid="{00000000-0005-0000-0000-0000F70B0000}"/>
    <cellStyle name="ItemTypeClass" xfId="1007" xr:uid="{00000000-0005-0000-0000-0000F80B0000}"/>
    <cellStyle name="Komma [0]_laroux" xfId="1008" xr:uid="{00000000-0005-0000-0000-0000F90B0000}"/>
    <cellStyle name="Komma_laroux" xfId="1009" xr:uid="{00000000-0005-0000-0000-0000FA0B0000}"/>
    <cellStyle name="KPMG Heading 1" xfId="1010" xr:uid="{00000000-0005-0000-0000-0000FB0B0000}"/>
    <cellStyle name="KPMG Heading 2" xfId="1011" xr:uid="{00000000-0005-0000-0000-0000FC0B0000}"/>
    <cellStyle name="KPMG Heading 3" xfId="1012" xr:uid="{00000000-0005-0000-0000-0000FD0B0000}"/>
    <cellStyle name="KPMG Heading 4" xfId="1013" xr:uid="{00000000-0005-0000-0000-0000FE0B0000}"/>
    <cellStyle name="KPMG Normal" xfId="1014" xr:uid="{00000000-0005-0000-0000-0000FF0B0000}"/>
    <cellStyle name="KPMG Normal Text" xfId="1015" xr:uid="{00000000-0005-0000-0000-0000000C0000}"/>
    <cellStyle name="ligne_detail" xfId="1016" xr:uid="{00000000-0005-0000-0000-0000010C0000}"/>
    <cellStyle name="Line" xfId="1017" xr:uid="{00000000-0005-0000-0000-0000020C0000}"/>
    <cellStyle name="Link" xfId="1018" xr:uid="{00000000-0005-0000-0000-0000030C0000}"/>
    <cellStyle name="Link Currency (0)" xfId="1019" xr:uid="{00000000-0005-0000-0000-0000040C0000}"/>
    <cellStyle name="Link Currency (2)" xfId="1020" xr:uid="{00000000-0005-0000-0000-0000050C0000}"/>
    <cellStyle name="Link Units (0)" xfId="1021" xr:uid="{00000000-0005-0000-0000-0000060C0000}"/>
    <cellStyle name="Link Units (1)" xfId="1022" xr:uid="{00000000-0005-0000-0000-0000070C0000}"/>
    <cellStyle name="Link Units (2)" xfId="1023" xr:uid="{00000000-0005-0000-0000-0000080C0000}"/>
    <cellStyle name="Locked" xfId="1024" xr:uid="{00000000-0005-0000-0000-0000090C0000}"/>
    <cellStyle name="lpt" xfId="1025" xr:uid="{00000000-0005-0000-0000-00000A0C0000}"/>
    <cellStyle name="lspt" xfId="1026" xr:uid="{00000000-0005-0000-0000-00000B0C0000}"/>
    <cellStyle name="m" xfId="1027" xr:uid="{00000000-0005-0000-0000-00000C0C0000}"/>
    <cellStyle name="m/d/yy" xfId="1028" xr:uid="{00000000-0005-0000-0000-00000D0C0000}"/>
    <cellStyle name="m1" xfId="1029" xr:uid="{00000000-0005-0000-0000-00000E0C0000}"/>
    <cellStyle name="Main item" xfId="1030" xr:uid="{00000000-0005-0000-0000-00000F0C0000}"/>
    <cellStyle name="Main Title" xfId="1031" xr:uid="{00000000-0005-0000-0000-0000100C0000}"/>
    <cellStyle name="Margins" xfId="1032" xr:uid="{00000000-0005-0000-0000-0000110C0000}"/>
    <cellStyle name="Migliaia (0)" xfId="1033" xr:uid="{00000000-0005-0000-0000-0000120C0000}"/>
    <cellStyle name="Migliaia_AdR prelim valuation 010130 base case Ver5 Final" xfId="1034" xr:uid="{00000000-0005-0000-0000-0000130C0000}"/>
    <cellStyle name="Millares [0]_Asset Mgmt " xfId="1689" xr:uid="{00000000-0005-0000-0000-0000140C0000}"/>
    <cellStyle name="Millares_Asset Mgmt " xfId="1690" xr:uid="{00000000-0005-0000-0000-0000150C0000}"/>
    <cellStyle name="Milliers [0]_AR1194" xfId="1035" xr:uid="{00000000-0005-0000-0000-0000160C0000}"/>
    <cellStyle name="Milliers_AR1194" xfId="1036" xr:uid="{00000000-0005-0000-0000-0000170C0000}"/>
    <cellStyle name="million" xfId="1037" xr:uid="{00000000-0005-0000-0000-0000180C0000}"/>
    <cellStyle name="million [1]" xfId="1038" xr:uid="{00000000-0005-0000-0000-0000190C0000}"/>
    <cellStyle name="million_DCF" xfId="1039" xr:uid="{00000000-0005-0000-0000-00001A0C0000}"/>
    <cellStyle name="millions" xfId="1040" xr:uid="{00000000-0005-0000-0000-00001B0C0000}"/>
    <cellStyle name="MLComma0" xfId="1041" xr:uid="{00000000-0005-0000-0000-00001C0C0000}"/>
    <cellStyle name="MLDollar0" xfId="1042" xr:uid="{00000000-0005-0000-0000-00001D0C0000}"/>
    <cellStyle name="MLEuro0" xfId="1043" xr:uid="{00000000-0005-0000-0000-00001E0C0000}"/>
    <cellStyle name="MLMultiple0" xfId="1044" xr:uid="{00000000-0005-0000-0000-00001F0C0000}"/>
    <cellStyle name="MLPercent0" xfId="1045" xr:uid="{00000000-0005-0000-0000-0000200C0000}"/>
    <cellStyle name="MLPound0" xfId="1046" xr:uid="{00000000-0005-0000-0000-0000210C0000}"/>
    <cellStyle name="MLYen0" xfId="1047" xr:uid="{00000000-0005-0000-0000-0000220C0000}"/>
    <cellStyle name="mod1" xfId="1048" xr:uid="{00000000-0005-0000-0000-0000230C0000}"/>
    <cellStyle name="model" xfId="1049" xr:uid="{00000000-0005-0000-0000-0000240C0000}"/>
    <cellStyle name="modelo1" xfId="1050" xr:uid="{00000000-0005-0000-0000-0000250C0000}"/>
    <cellStyle name="Moneda [0]_Asset Mgmt " xfId="1691" xr:uid="{00000000-0005-0000-0000-0000260C0000}"/>
    <cellStyle name="Moneda_Asset Mgmt " xfId="1692" xr:uid="{00000000-0005-0000-0000-0000270C0000}"/>
    <cellStyle name="Monétaire [0]_AR1194" xfId="1051" xr:uid="{00000000-0005-0000-0000-0000280C0000}"/>
    <cellStyle name="Monétaire_AR1194" xfId="1052" xr:uid="{00000000-0005-0000-0000-0000290C0000}"/>
    <cellStyle name="Monetario" xfId="1053" xr:uid="{00000000-0005-0000-0000-00002A0C0000}"/>
    <cellStyle name="Money" xfId="1054" xr:uid="{00000000-0005-0000-0000-00002B0C0000}"/>
    <cellStyle name="month" xfId="1055" xr:uid="{00000000-0005-0000-0000-00002C0C0000}"/>
    <cellStyle name="MonthYears" xfId="1056" xr:uid="{00000000-0005-0000-0000-00002D0C0000}"/>
    <cellStyle name="Morgan" xfId="1057" xr:uid="{00000000-0005-0000-0000-00002E0C0000}"/>
    <cellStyle name="Multiple" xfId="1058" xr:uid="{00000000-0005-0000-0000-00002F0C0000}"/>
    <cellStyle name="Multiple [0]" xfId="1059" xr:uid="{00000000-0005-0000-0000-0000300C0000}"/>
    <cellStyle name="Multiple [1]" xfId="1060" xr:uid="{00000000-0005-0000-0000-0000310C0000}"/>
    <cellStyle name="Multiple_detailed bank case 21 3 05" xfId="1061" xr:uid="{00000000-0005-0000-0000-0000320C0000}"/>
    <cellStyle name="Multiple1" xfId="1062" xr:uid="{00000000-0005-0000-0000-0000330C0000}"/>
    <cellStyle name="MultipleBelow" xfId="1063" xr:uid="{00000000-0005-0000-0000-0000340C0000}"/>
    <cellStyle name="MultipleDouble" xfId="1064" xr:uid="{00000000-0005-0000-0000-0000350C0000}"/>
    <cellStyle name="MultipleInput" xfId="1065" xr:uid="{00000000-0005-0000-0000-0000360C0000}"/>
    <cellStyle name="MultipleInput 2" xfId="3675" xr:uid="{00000000-0005-0000-0000-0000370C0000}"/>
    <cellStyle name="Multiples1" xfId="1066" xr:uid="{00000000-0005-0000-0000-0000380C0000}"/>
    <cellStyle name="n" xfId="1693" xr:uid="{00000000-0005-0000-0000-0000390C0000}"/>
    <cellStyle name="n0" xfId="1067" xr:uid="{00000000-0005-0000-0000-00003A0C0000}"/>
    <cellStyle name="n1" xfId="1068" xr:uid="{00000000-0005-0000-0000-00003B0C0000}"/>
    <cellStyle name="n2" xfId="1069" xr:uid="{00000000-0005-0000-0000-00003C0C0000}"/>
    <cellStyle name="NA is zero" xfId="1070" xr:uid="{00000000-0005-0000-0000-00003D0C0000}"/>
    <cellStyle name="Name" xfId="1071" xr:uid="{00000000-0005-0000-0000-00003E0C0000}"/>
    <cellStyle name="NivelFila_2_Consejo2001" xfId="1072" xr:uid="{00000000-0005-0000-0000-00003F0C0000}"/>
    <cellStyle name="No Border" xfId="1073" xr:uid="{00000000-0005-0000-0000-0000400C0000}"/>
    <cellStyle name="no dec" xfId="1074" xr:uid="{00000000-0005-0000-0000-0000410C0000}"/>
    <cellStyle name="No Decimal" xfId="1075" xr:uid="{00000000-0005-0000-0000-0000420C0000}"/>
    <cellStyle name="No.s to 1dp" xfId="1076" xr:uid="{00000000-0005-0000-0000-0000430C0000}"/>
    <cellStyle name="NORAYAS" xfId="1077" xr:uid="{00000000-0005-0000-0000-0000440C0000}"/>
    <cellStyle name="Norm" xfId="1078" xr:uid="{00000000-0005-0000-0000-0000450C0000}"/>
    <cellStyle name="norma;l" xfId="1079" xr:uid="{00000000-0005-0000-0000-0000460C0000}"/>
    <cellStyle name="norma;l 2" xfId="3676" xr:uid="{00000000-0005-0000-0000-0000470C0000}"/>
    <cellStyle name="Normal" xfId="0" builtinId="0"/>
    <cellStyle name="Normal--" xfId="1080" xr:uid="{00000000-0005-0000-0000-0000490C0000}"/>
    <cellStyle name="Normal - Style1" xfId="1081" xr:uid="{00000000-0005-0000-0000-00004A0C0000}"/>
    <cellStyle name="Normal (no,)" xfId="1082" xr:uid="{00000000-0005-0000-0000-00004B0C0000}"/>
    <cellStyle name="Normal [0]" xfId="1083" xr:uid="{00000000-0005-0000-0000-00004C0C0000}"/>
    <cellStyle name="Normal [1]" xfId="1084" xr:uid="{00000000-0005-0000-0000-00004D0C0000}"/>
    <cellStyle name="Normal [2]" xfId="1085" xr:uid="{00000000-0005-0000-0000-00004E0C0000}"/>
    <cellStyle name="Normal [3]" xfId="1086" xr:uid="{00000000-0005-0000-0000-00004F0C0000}"/>
    <cellStyle name="normal [zero]" xfId="1087" xr:uid="{00000000-0005-0000-0000-0000500C0000}"/>
    <cellStyle name="Normal 10" xfId="1716" xr:uid="{00000000-0005-0000-0000-0000510C0000}"/>
    <cellStyle name="Normal 11" xfId="1717" xr:uid="{00000000-0005-0000-0000-0000520C0000}"/>
    <cellStyle name="Normal 12" xfId="1728" xr:uid="{00000000-0005-0000-0000-0000530C0000}"/>
    <cellStyle name="Normal 13" xfId="1734" xr:uid="{00000000-0005-0000-0000-0000540C0000}"/>
    <cellStyle name="Normal 14" xfId="1736" xr:uid="{00000000-0005-0000-0000-0000550C0000}"/>
    <cellStyle name="Normal 15" xfId="1742" xr:uid="{00000000-0005-0000-0000-0000560C0000}"/>
    <cellStyle name="Normal 16" xfId="2310" xr:uid="{00000000-0005-0000-0000-0000570C0000}"/>
    <cellStyle name="Normal 16 2" xfId="3715" xr:uid="{00000000-0005-0000-0000-0000580C0000}"/>
    <cellStyle name="Normal 2" xfId="3" xr:uid="{00000000-0005-0000-0000-0000590C0000}"/>
    <cellStyle name="Normal 2 2" xfId="1686" xr:uid="{00000000-0005-0000-0000-00005A0C0000}"/>
    <cellStyle name="Normal 2 3" xfId="1699" xr:uid="{00000000-0005-0000-0000-00005B0C0000}"/>
    <cellStyle name="Normal 3" xfId="7" xr:uid="{00000000-0005-0000-0000-00005C0C0000}"/>
    <cellStyle name="Normal 4" xfId="1694" xr:uid="{00000000-0005-0000-0000-00005D0C0000}"/>
    <cellStyle name="Normal 5" xfId="1695" xr:uid="{00000000-0005-0000-0000-00005E0C0000}"/>
    <cellStyle name="Normal 5 3" xfId="3623" xr:uid="{00000000-0005-0000-0000-00005F0C0000}"/>
    <cellStyle name="Normal 6" xfId="1705" xr:uid="{00000000-0005-0000-0000-0000600C0000}"/>
    <cellStyle name="Normal 7" xfId="1721" xr:uid="{00000000-0005-0000-0000-0000610C0000}"/>
    <cellStyle name="Normal 8" xfId="1723" xr:uid="{00000000-0005-0000-0000-0000620C0000}"/>
    <cellStyle name="Normal 9" xfId="1708" xr:uid="{00000000-0005-0000-0000-0000630C0000}"/>
    <cellStyle name="Normal Bold" xfId="1088" xr:uid="{00000000-0005-0000-0000-0000640C0000}"/>
    <cellStyle name="Normal Italics" xfId="1089" xr:uid="{00000000-0005-0000-0000-0000650C0000}"/>
    <cellStyle name="Normal Pct" xfId="1090" xr:uid="{00000000-0005-0000-0000-0000660C0000}"/>
    <cellStyle name="Normal%Input" xfId="1091" xr:uid="{00000000-0005-0000-0000-0000670C0000}"/>
    <cellStyle name="normal;" xfId="1092" xr:uid="{00000000-0005-0000-0000-0000680C0000}"/>
    <cellStyle name="normal; 2" xfId="3677" xr:uid="{00000000-0005-0000-0000-0000690C0000}"/>
    <cellStyle name="Normal_Copy of Rank Model - 230108 VB" xfId="2311" xr:uid="{00000000-0005-0000-0000-00006A0C0000}"/>
    <cellStyle name="Normal_Southern Cross LBO v9" xfId="2" xr:uid="{00000000-0005-0000-0000-00006B0C0000}"/>
    <cellStyle name="Normal2" xfId="1093" xr:uid="{00000000-0005-0000-0000-00006C0C0000}"/>
    <cellStyle name="NormalBold" xfId="1094" xr:uid="{00000000-0005-0000-0000-00006D0C0000}"/>
    <cellStyle name="NormalE" xfId="1095" xr:uid="{00000000-0005-0000-0000-00006E0C0000}"/>
    <cellStyle name="NormalGB" xfId="1096" xr:uid="{00000000-0005-0000-0000-00006F0C0000}"/>
    <cellStyle name="NormalMultiple" xfId="1097" xr:uid="{00000000-0005-0000-0000-0000700C0000}"/>
    <cellStyle name="NormalNumber" xfId="1098" xr:uid="{00000000-0005-0000-0000-0000710C0000}"/>
    <cellStyle name="Normalny_LTP2001 MIS (1) " xfId="1099" xr:uid="{00000000-0005-0000-0000-0000720C0000}"/>
    <cellStyle name="NormalPerso" xfId="1100" xr:uid="{00000000-0005-0000-0000-0000730C0000}"/>
    <cellStyle name="Normalx" xfId="1101" xr:uid="{00000000-0005-0000-0000-0000740C0000}"/>
    <cellStyle name="NormalxShadow" xfId="1102" xr:uid="{00000000-0005-0000-0000-0000750C0000}"/>
    <cellStyle name="Notes" xfId="1103" xr:uid="{00000000-0005-0000-0000-0000760C0000}"/>
    <cellStyle name="NPPESalesPct" xfId="1104" xr:uid="{00000000-0005-0000-0000-0000770C0000}"/>
    <cellStyle name="Number" xfId="1105" xr:uid="{00000000-0005-0000-0000-0000780C0000}"/>
    <cellStyle name="Number [0]" xfId="1106" xr:uid="{00000000-0005-0000-0000-0000790C0000}"/>
    <cellStyle name="Number 2" xfId="3678" xr:uid="{00000000-0005-0000-0000-00007A0C0000}"/>
    <cellStyle name="Number_M&amp;A Model" xfId="1107" xr:uid="{00000000-0005-0000-0000-00007B0C0000}"/>
    <cellStyle name="NWI%S" xfId="1108" xr:uid="{00000000-0005-0000-0000-00007C0C0000}"/>
    <cellStyle name="Œ…‹æØ‚è [0.00]_GE 3 MINIMUM" xfId="1109" xr:uid="{00000000-0005-0000-0000-00007D0C0000}"/>
    <cellStyle name="Œ…‹æØ‚è_GE 3 MINIMUM" xfId="1110" xr:uid="{00000000-0005-0000-0000-00007E0C0000}"/>
    <cellStyle name="One Decimal" xfId="1111" xr:uid="{00000000-0005-0000-0000-00007F0C0000}"/>
    <cellStyle name="onedec" xfId="1112" xr:uid="{00000000-0005-0000-0000-0000800C0000}"/>
    <cellStyle name="Option" xfId="1113" xr:uid="{00000000-0005-0000-0000-0000810C0000}"/>
    <cellStyle name="outh America" xfId="1114" xr:uid="{00000000-0005-0000-0000-0000820C0000}"/>
    <cellStyle name="Output (0dp#)" xfId="1115" xr:uid="{00000000-0005-0000-0000-0000830C0000}"/>
    <cellStyle name="Output (0dp%)" xfId="1116" xr:uid="{00000000-0005-0000-0000-0000840C0000}"/>
    <cellStyle name="Output (1dp#)" xfId="1117" xr:uid="{00000000-0005-0000-0000-0000850C0000}"/>
    <cellStyle name="Output (1dp%)" xfId="1118" xr:uid="{00000000-0005-0000-0000-0000860C0000}"/>
    <cellStyle name="Output (1dpx)" xfId="1119" xr:uid="{00000000-0005-0000-0000-0000870C0000}"/>
    <cellStyle name="Output (2dp#)" xfId="1120" xr:uid="{00000000-0005-0000-0000-0000880C0000}"/>
    <cellStyle name="Output Labels" xfId="1121" xr:uid="{00000000-0005-0000-0000-0000890C0000}"/>
    <cellStyle name="OutputPct" xfId="1122" xr:uid="{00000000-0005-0000-0000-00008A0C0000}"/>
    <cellStyle name="Outputs (Locked)" xfId="1123" xr:uid="{00000000-0005-0000-0000-00008B0C0000}"/>
    <cellStyle name="OVER" xfId="1124" xr:uid="{00000000-0005-0000-0000-00008C0C0000}"/>
    <cellStyle name="p" xfId="1125" xr:uid="{00000000-0005-0000-0000-00008D0C0000}"/>
    <cellStyle name="P&amp;L Numbers" xfId="1126" xr:uid="{00000000-0005-0000-0000-00008E0C0000}"/>
    <cellStyle name="p_DCF" xfId="1127" xr:uid="{00000000-0005-0000-0000-00008F0C0000}"/>
    <cellStyle name="p_DCF_M&amp;A Model" xfId="1128" xr:uid="{00000000-0005-0000-0000-0000900C0000}"/>
    <cellStyle name="p_DCF_SHIT" xfId="1129" xr:uid="{00000000-0005-0000-0000-0000910C0000}"/>
    <cellStyle name="p_DCF_SHIT_M&amp;A Model" xfId="1130" xr:uid="{00000000-0005-0000-0000-0000920C0000}"/>
    <cellStyle name="p_DCF_VERA_2" xfId="1131" xr:uid="{00000000-0005-0000-0000-0000930C0000}"/>
    <cellStyle name="p_DCF_VERA_2_M&amp;A Model" xfId="1132" xr:uid="{00000000-0005-0000-0000-0000940C0000}"/>
    <cellStyle name="p_M&amp;A Model" xfId="1133" xr:uid="{00000000-0005-0000-0000-0000950C0000}"/>
    <cellStyle name="p_M&amp;A Model 2" xfId="3679" xr:uid="{00000000-0005-0000-0000-0000960C0000}"/>
    <cellStyle name="p_M&amp;A projections" xfId="1134" xr:uid="{00000000-0005-0000-0000-0000970C0000}"/>
    <cellStyle name="p_M&amp;A projections 2" xfId="3680" xr:uid="{00000000-0005-0000-0000-0000980C0000}"/>
    <cellStyle name="p_SHIT" xfId="1135" xr:uid="{00000000-0005-0000-0000-0000990C0000}"/>
    <cellStyle name="p_SHIT_M&amp;A Model" xfId="1136" xr:uid="{00000000-0005-0000-0000-00009A0C0000}"/>
    <cellStyle name="p_VERA" xfId="1137" xr:uid="{00000000-0005-0000-0000-00009B0C0000}"/>
    <cellStyle name="p_VERA_1" xfId="1138" xr:uid="{00000000-0005-0000-0000-00009C0C0000}"/>
    <cellStyle name="p_VERA_1_M&amp;A Model" xfId="1139" xr:uid="{00000000-0005-0000-0000-00009D0C0000}"/>
    <cellStyle name="p_VERA_2" xfId="1140" xr:uid="{00000000-0005-0000-0000-00009E0C0000}"/>
    <cellStyle name="p_VERA_2_M&amp;A Model" xfId="1141" xr:uid="{00000000-0005-0000-0000-00009F0C0000}"/>
    <cellStyle name="p_xMidcap4_24" xfId="1142" xr:uid="{00000000-0005-0000-0000-0000A00C0000}"/>
    <cellStyle name="p_xMidcap4_24_M&amp;A Model" xfId="1143" xr:uid="{00000000-0005-0000-0000-0000A10C0000}"/>
    <cellStyle name="p1" xfId="1144" xr:uid="{00000000-0005-0000-0000-0000A20C0000}"/>
    <cellStyle name="Page break" xfId="1145" xr:uid="{00000000-0005-0000-0000-0000A30C0000}"/>
    <cellStyle name="Page Heading" xfId="1146" xr:uid="{00000000-0005-0000-0000-0000A40C0000}"/>
    <cellStyle name="Page Heading Large" xfId="1147" xr:uid="{00000000-0005-0000-0000-0000A50C0000}"/>
    <cellStyle name="Page Heading Small" xfId="1148" xr:uid="{00000000-0005-0000-0000-0000A60C0000}"/>
    <cellStyle name="Page Number" xfId="1149" xr:uid="{00000000-0005-0000-0000-0000A70C0000}"/>
    <cellStyle name="Pattern" xfId="1150" xr:uid="{00000000-0005-0000-0000-0000A80C0000}"/>
    <cellStyle name="patterns" xfId="1151" xr:uid="{00000000-0005-0000-0000-0000A90C0000}"/>
    <cellStyle name="pc1" xfId="1152" xr:uid="{00000000-0005-0000-0000-0000AA0C0000}"/>
    <cellStyle name="pcent" xfId="1153" xr:uid="{00000000-0005-0000-0000-0000AB0C0000}"/>
    <cellStyle name="Pct 1" xfId="1154" xr:uid="{00000000-0005-0000-0000-0000AC0C0000}"/>
    <cellStyle name="pct_sub" xfId="1155" xr:uid="{00000000-0005-0000-0000-0000AD0C0000}"/>
    <cellStyle name="Pctdec1itals" xfId="1156" xr:uid="{00000000-0005-0000-0000-0000AE0C0000}"/>
    <cellStyle name="pd" xfId="1157" xr:uid="{00000000-0005-0000-0000-0000AF0C0000}"/>
    <cellStyle name="pe" xfId="1158" xr:uid="{00000000-0005-0000-0000-0000B00C0000}"/>
    <cellStyle name="Pence" xfId="1159" xr:uid="{00000000-0005-0000-0000-0000B10C0000}"/>
    <cellStyle name="pence [0]" xfId="1160" xr:uid="{00000000-0005-0000-0000-0000B20C0000}"/>
    <cellStyle name="pence [1]" xfId="1161" xr:uid="{00000000-0005-0000-0000-0000B30C0000}"/>
    <cellStyle name="pence_DCF" xfId="1162" xr:uid="{00000000-0005-0000-0000-0000B40C0000}"/>
    <cellStyle name="per" xfId="1163" xr:uid="{00000000-0005-0000-0000-0000B50C0000}"/>
    <cellStyle name="per.style" xfId="1748" xr:uid="{00000000-0005-0000-0000-0000B60C0000}"/>
    <cellStyle name="percemt" xfId="1164" xr:uid="{00000000-0005-0000-0000-0000B70C0000}"/>
    <cellStyle name="percemt 2" xfId="3681" xr:uid="{00000000-0005-0000-0000-0000B80C0000}"/>
    <cellStyle name="Percent" xfId="2309" builtinId="5"/>
    <cellStyle name="Percent (0.0)" xfId="1165" xr:uid="{00000000-0005-0000-0000-0000BA0C0000}"/>
    <cellStyle name="Percent (0.00)" xfId="1166" xr:uid="{00000000-0005-0000-0000-0000BB0C0000}"/>
    <cellStyle name="Percent (1)" xfId="1167" xr:uid="{00000000-0005-0000-0000-0000BC0C0000}"/>
    <cellStyle name="Percent [0]" xfId="1168" xr:uid="{00000000-0005-0000-0000-0000BD0C0000}"/>
    <cellStyle name="Percent [0] Total" xfId="1169" xr:uid="{00000000-0005-0000-0000-0000BE0C0000}"/>
    <cellStyle name="Percent [0] Total 2" xfId="3682" xr:uid="{00000000-0005-0000-0000-0000BF0C0000}"/>
    <cellStyle name="Percent [0]_comparison" xfId="1170" xr:uid="{00000000-0005-0000-0000-0000C00C0000}"/>
    <cellStyle name="Percent [00]" xfId="1171" xr:uid="{00000000-0005-0000-0000-0000C10C0000}"/>
    <cellStyle name="Percent [00] 2" xfId="3683" xr:uid="{00000000-0005-0000-0000-0000C20C0000}"/>
    <cellStyle name="Percent [1]" xfId="1172" xr:uid="{00000000-0005-0000-0000-0000C30C0000}"/>
    <cellStyle name="percent [1-]" xfId="1173" xr:uid="{00000000-0005-0000-0000-0000C40C0000}"/>
    <cellStyle name="Percent [1] --" xfId="1174" xr:uid="{00000000-0005-0000-0000-0000C50C0000}"/>
    <cellStyle name="Percent [1] Total" xfId="1175" xr:uid="{00000000-0005-0000-0000-0000C60C0000}"/>
    <cellStyle name="Percent [1] Total 2" xfId="3684" xr:uid="{00000000-0005-0000-0000-0000C70C0000}"/>
    <cellStyle name="Percent [1]_Base acqfin hybrid model_S3" xfId="1176" xr:uid="{00000000-0005-0000-0000-0000C80C0000}"/>
    <cellStyle name="percent [100]" xfId="1177" xr:uid="{00000000-0005-0000-0000-0000C90C0000}"/>
    <cellStyle name="Percent [2]" xfId="1178" xr:uid="{00000000-0005-0000-0000-0000CA0C0000}"/>
    <cellStyle name="Percent [2] Total" xfId="1179" xr:uid="{00000000-0005-0000-0000-0000CB0C0000}"/>
    <cellStyle name="Percent [2] Total 2" xfId="3685" xr:uid="{00000000-0005-0000-0000-0000CC0C0000}"/>
    <cellStyle name="Percent [2]_57 Project Fly (2)" xfId="1180" xr:uid="{00000000-0005-0000-0000-0000CD0C0000}"/>
    <cellStyle name="Percent [3]" xfId="1181" xr:uid="{00000000-0005-0000-0000-0000CE0C0000}"/>
    <cellStyle name="Percent [3]--" xfId="1182" xr:uid="{00000000-0005-0000-0000-0000CF0C0000}"/>
    <cellStyle name="Percent [4]" xfId="1183" xr:uid="{00000000-0005-0000-0000-0000D00C0000}"/>
    <cellStyle name="Percent 0" xfId="1184" xr:uid="{00000000-0005-0000-0000-0000D10C0000}"/>
    <cellStyle name="Percent 0.00" xfId="1185" xr:uid="{00000000-0005-0000-0000-0000D20C0000}"/>
    <cellStyle name="Percent 10" xfId="1727" xr:uid="{00000000-0005-0000-0000-0000D30C0000}"/>
    <cellStyle name="Percent 11" xfId="1733" xr:uid="{00000000-0005-0000-0000-0000D40C0000}"/>
    <cellStyle name="Percent 12" xfId="1735" xr:uid="{00000000-0005-0000-0000-0000D50C0000}"/>
    <cellStyle name="Percent 13" xfId="1741" xr:uid="{00000000-0005-0000-0000-0000D60C0000}"/>
    <cellStyle name="Percent 14" xfId="1743" xr:uid="{00000000-0005-0000-0000-0000D70C0000}"/>
    <cellStyle name="Percent 2" xfId="5" xr:uid="{00000000-0005-0000-0000-0000D80C0000}"/>
    <cellStyle name="Percent 3" xfId="1700" xr:uid="{00000000-0005-0000-0000-0000D90C0000}"/>
    <cellStyle name="Percent 4" xfId="1706" xr:uid="{00000000-0005-0000-0000-0000DA0C0000}"/>
    <cellStyle name="Percent 5" xfId="1707" xr:uid="{00000000-0005-0000-0000-0000DB0C0000}"/>
    <cellStyle name="Percent 6" xfId="1722" xr:uid="{00000000-0005-0000-0000-0000DC0C0000}"/>
    <cellStyle name="Percent 7" xfId="1726" xr:uid="{00000000-0005-0000-0000-0000DD0C0000}"/>
    <cellStyle name="Percent 8" xfId="1715" xr:uid="{00000000-0005-0000-0000-0000DE0C0000}"/>
    <cellStyle name="Percent 9" xfId="1718" xr:uid="{00000000-0005-0000-0000-0000DF0C0000}"/>
    <cellStyle name="Percent Comma" xfId="1186" xr:uid="{00000000-0005-0000-0000-0000E00C0000}"/>
    <cellStyle name="percent har" xfId="1187" xr:uid="{00000000-0005-0000-0000-0000E10C0000}"/>
    <cellStyle name="Percent Hard" xfId="1188" xr:uid="{00000000-0005-0000-0000-0000E20C0000}"/>
    <cellStyle name="Percent Input" xfId="1189" xr:uid="{00000000-0005-0000-0000-0000E30C0000}"/>
    <cellStyle name="Percent SuppCalc (0.0)" xfId="1190" xr:uid="{00000000-0005-0000-0000-0000E40C0000}"/>
    <cellStyle name="Percent SuppCalc Input (0.0)" xfId="1191" xr:uid="{00000000-0005-0000-0000-0000E50C0000}"/>
    <cellStyle name="Percent*" xfId="1192" xr:uid="{00000000-0005-0000-0000-0000E60C0000}"/>
    <cellStyle name="Percent1" xfId="1193" xr:uid="{00000000-0005-0000-0000-0000E70C0000}"/>
    <cellStyle name="Percent1Blue" xfId="1194" xr:uid="{00000000-0005-0000-0000-0000E80C0000}"/>
    <cellStyle name="Percent2" xfId="1195" xr:uid="{00000000-0005-0000-0000-0000E90C0000}"/>
    <cellStyle name="Percent2Blue" xfId="1196" xr:uid="{00000000-0005-0000-0000-0000EA0C0000}"/>
    <cellStyle name="Percentage" xfId="1197" xr:uid="{00000000-0005-0000-0000-0000EB0C0000}"/>
    <cellStyle name="PercentChange" xfId="1198" xr:uid="{00000000-0005-0000-0000-0000EC0C0000}"/>
    <cellStyle name="PercentPerso" xfId="1199" xr:uid="{00000000-0005-0000-0000-0000ED0C0000}"/>
    <cellStyle name="PercentPresentation" xfId="1200" xr:uid="{00000000-0005-0000-0000-0000EE0C0000}"/>
    <cellStyle name="PercentSales" xfId="1201" xr:uid="{00000000-0005-0000-0000-0000EF0C0000}"/>
    <cellStyle name="Percentuale_AAON_summary_Kevin" xfId="1202" xr:uid="{00000000-0005-0000-0000-0000F00C0000}"/>
    <cellStyle name="percnet" xfId="1203" xr:uid="{00000000-0005-0000-0000-0000F10C0000}"/>
    <cellStyle name="percnet 2" xfId="3686" xr:uid="{00000000-0005-0000-0000-0000F20C0000}"/>
    <cellStyle name="perecent" xfId="1204" xr:uid="{00000000-0005-0000-0000-0000F30C0000}"/>
    <cellStyle name="Period" xfId="1205" xr:uid="{00000000-0005-0000-0000-0000F40C0000}"/>
    <cellStyle name="Perlong" xfId="1206" xr:uid="{00000000-0005-0000-0000-0000F50C0000}"/>
    <cellStyle name="PerShare" xfId="1207" xr:uid="{00000000-0005-0000-0000-0000F60C0000}"/>
    <cellStyle name="pf" xfId="1208" xr:uid="{00000000-0005-0000-0000-0000F70C0000}"/>
    <cellStyle name="PLAN1" xfId="1209" xr:uid="{00000000-0005-0000-0000-0000F80C0000}"/>
    <cellStyle name="POPS" xfId="1210" xr:uid="{00000000-0005-0000-0000-0000F90C0000}"/>
    <cellStyle name="Porcentaje" xfId="1211" xr:uid="{00000000-0005-0000-0000-0000FA0C0000}"/>
    <cellStyle name="Porcentual_CAPEX_Acea_Alcatel_2505" xfId="1212" xr:uid="{00000000-0005-0000-0000-0000FB0C0000}"/>
    <cellStyle name="Pound" xfId="1213" xr:uid="{00000000-0005-0000-0000-0000FC0C0000}"/>
    <cellStyle name="Pound [1]" xfId="1214" xr:uid="{00000000-0005-0000-0000-0000FD0C0000}"/>
    <cellStyle name="Pound [2]" xfId="1215" xr:uid="{00000000-0005-0000-0000-0000FE0C0000}"/>
    <cellStyle name="Pounds No Decimal" xfId="1216" xr:uid="{00000000-0005-0000-0000-0000FF0C0000}"/>
    <cellStyle name="Pounds Total 2" xfId="1217" xr:uid="{00000000-0005-0000-0000-0000000D0000}"/>
    <cellStyle name="Pounds Total 2 2" xfId="3687" xr:uid="{00000000-0005-0000-0000-0000010D0000}"/>
    <cellStyle name="pp" xfId="1218" xr:uid="{00000000-0005-0000-0000-0000020D0000}"/>
    <cellStyle name="ppp" xfId="1219" xr:uid="{00000000-0005-0000-0000-0000030D0000}"/>
    <cellStyle name="PrePop Currency (0)" xfId="1220" xr:uid="{00000000-0005-0000-0000-0000040D0000}"/>
    <cellStyle name="PrePop Currency (2)" xfId="1221" xr:uid="{00000000-0005-0000-0000-0000050D0000}"/>
    <cellStyle name="PrePop Units (0)" xfId="1222" xr:uid="{00000000-0005-0000-0000-0000060D0000}"/>
    <cellStyle name="PrePop Units (1)" xfId="1223" xr:uid="{00000000-0005-0000-0000-0000070D0000}"/>
    <cellStyle name="PrePop Units (2)" xfId="1224" xr:uid="{00000000-0005-0000-0000-0000080D0000}"/>
    <cellStyle name="Presentation" xfId="1225" xr:uid="{00000000-0005-0000-0000-0000090D0000}"/>
    <cellStyle name="PresentationZero" xfId="1226" xr:uid="{00000000-0005-0000-0000-00000A0D0000}"/>
    <cellStyle name="Price" xfId="1227" xr:uid="{00000000-0005-0000-0000-00000B0D0000}"/>
    <cellStyle name="Private" xfId="1228" xr:uid="{00000000-0005-0000-0000-00000C0D0000}"/>
    <cellStyle name="Private1" xfId="1229" xr:uid="{00000000-0005-0000-0000-00000D0D0000}"/>
    <cellStyle name="Profit figure" xfId="1230" xr:uid="{00000000-0005-0000-0000-00000E0D0000}"/>
    <cellStyle name="Proj" xfId="1231" xr:uid="{00000000-0005-0000-0000-00000F0D0000}"/>
    <cellStyle name="pt" xfId="1232" xr:uid="{00000000-0005-0000-0000-0000100D0000}"/>
    <cellStyle name="ptit" xfId="1233" xr:uid="{00000000-0005-0000-0000-0000110D0000}"/>
    <cellStyle name="r" xfId="1234" xr:uid="{00000000-0005-0000-0000-0000120D0000}"/>
    <cellStyle name="Range" xfId="1235" xr:uid="{00000000-0005-0000-0000-0000130D0000}"/>
    <cellStyle name="rat" xfId="1236" xr:uid="{00000000-0005-0000-0000-0000140D0000}"/>
    <cellStyle name="rate" xfId="1237" xr:uid="{00000000-0005-0000-0000-0000150D0000}"/>
    <cellStyle name="Ratio" xfId="1238" xr:uid="{00000000-0005-0000-0000-0000160D0000}"/>
    <cellStyle name="Ratio Comma" xfId="1239" xr:uid="{00000000-0005-0000-0000-0000170D0000}"/>
    <cellStyle name="Ratio_57 Project Fly (2)" xfId="1240" xr:uid="{00000000-0005-0000-0000-0000180D0000}"/>
    <cellStyle name="RatioX" xfId="1241" xr:uid="{00000000-0005-0000-0000-0000190D0000}"/>
    <cellStyle name="red" xfId="1242" xr:uid="{00000000-0005-0000-0000-00001A0D0000}"/>
    <cellStyle name="Red Box" xfId="1243" xr:uid="{00000000-0005-0000-0000-00001B0D0000}"/>
    <cellStyle name="Red font" xfId="1244" xr:uid="{00000000-0005-0000-0000-00001C0D0000}"/>
    <cellStyle name="Red Text" xfId="1245" xr:uid="{00000000-0005-0000-0000-00001D0D0000}"/>
    <cellStyle name="Report" xfId="1246" xr:uid="{00000000-0005-0000-0000-00001E0D0000}"/>
    <cellStyle name="Results % 0 dp" xfId="1247" xr:uid="{00000000-0005-0000-0000-00001F0D0000}"/>
    <cellStyle name="Results % 1 dp" xfId="1248" xr:uid="{00000000-0005-0000-0000-0000200D0000}"/>
    <cellStyle name="Results % 2 dp" xfId="1249" xr:uid="{00000000-0005-0000-0000-0000210D0000}"/>
    <cellStyle name="Results % 3 dp" xfId="1250" xr:uid="{00000000-0005-0000-0000-0000220D0000}"/>
    <cellStyle name="Results 0 dp" xfId="1251" xr:uid="{00000000-0005-0000-0000-0000230D0000}"/>
    <cellStyle name="Results 1 dp" xfId="1252" xr:uid="{00000000-0005-0000-0000-0000240D0000}"/>
    <cellStyle name="Results 2 dp" xfId="1253" xr:uid="{00000000-0005-0000-0000-0000250D0000}"/>
    <cellStyle name="Results 3 dp" xfId="1254" xr:uid="{00000000-0005-0000-0000-0000260D0000}"/>
    <cellStyle name="Results x 1 dp" xfId="1255" xr:uid="{00000000-0005-0000-0000-0000270D0000}"/>
    <cellStyle name="Results x 2 dp" xfId="1256" xr:uid="{00000000-0005-0000-0000-0000280D0000}"/>
    <cellStyle name="Right" xfId="1257" xr:uid="{00000000-0005-0000-0000-0000290D0000}"/>
    <cellStyle name="Rounding" xfId="1258" xr:uid="{00000000-0005-0000-0000-00002A0D0000}"/>
    <cellStyle name="Row Heading" xfId="1259" xr:uid="{00000000-0005-0000-0000-00002B0D0000}"/>
    <cellStyle name="Row Headings" xfId="1260" xr:uid="{00000000-0005-0000-0000-00002C0D0000}"/>
    <cellStyle name="Row Title 1" xfId="1261" xr:uid="{00000000-0005-0000-0000-00002D0D0000}"/>
    <cellStyle name="Row Title 2" xfId="1262" xr:uid="{00000000-0005-0000-0000-00002E0D0000}"/>
    <cellStyle name="Row Title 3" xfId="1263" xr:uid="{00000000-0005-0000-0000-00002F0D0000}"/>
    <cellStyle name="Row Total" xfId="1264" xr:uid="{00000000-0005-0000-0000-0000300D0000}"/>
    <cellStyle name="RowHead" xfId="1265" xr:uid="{00000000-0005-0000-0000-0000310D0000}"/>
    <cellStyle name="RowHeading" xfId="1266" xr:uid="{00000000-0005-0000-0000-0000320D0000}"/>
    <cellStyle name="s" xfId="1267" xr:uid="{00000000-0005-0000-0000-0000330D0000}"/>
    <cellStyle name="s_Accretion (2)" xfId="1268" xr:uid="{00000000-0005-0000-0000-0000340D0000}"/>
    <cellStyle name="s_Accretion (2)_1" xfId="1269" xr:uid="{00000000-0005-0000-0000-0000350D0000}"/>
    <cellStyle name="s_Accretion (2)_2" xfId="1270" xr:uid="{00000000-0005-0000-0000-0000360D0000}"/>
    <cellStyle name="s_ad3" xfId="1271" xr:uid="{00000000-0005-0000-0000-0000370D0000}"/>
    <cellStyle name="s_ad3_1" xfId="1272" xr:uid="{00000000-0005-0000-0000-0000380D0000}"/>
    <cellStyle name="s_ad3_2" xfId="1273" xr:uid="{00000000-0005-0000-0000-0000390D0000}"/>
    <cellStyle name="s_ad5" xfId="1274" xr:uid="{00000000-0005-0000-0000-00003A0D0000}"/>
    <cellStyle name="s_ad5_1" xfId="1275" xr:uid="{00000000-0005-0000-0000-00003B0D0000}"/>
    <cellStyle name="s_AdditionalPrint Code" xfId="1276" xr:uid="{00000000-0005-0000-0000-00003C0D0000}"/>
    <cellStyle name="s_AdditionalPrint Code_1" xfId="1277" xr:uid="{00000000-0005-0000-0000-00003D0D0000}"/>
    <cellStyle name="s_asko1" xfId="1278" xr:uid="{00000000-0005-0000-0000-00003E0D0000}"/>
    <cellStyle name="s_asko1_1" xfId="1279" xr:uid="{00000000-0005-0000-0000-00003F0D0000}"/>
    <cellStyle name="s_Assumptions" xfId="1280" xr:uid="{00000000-0005-0000-0000-0000400D0000}"/>
    <cellStyle name="s_B_S_Ratios _B" xfId="1281" xr:uid="{00000000-0005-0000-0000-0000410D0000}"/>
    <cellStyle name="s_B_S_Ratios_T" xfId="1282" xr:uid="{00000000-0005-0000-0000-0000420D0000}"/>
    <cellStyle name="s_Bal Sheets (2)" xfId="1283" xr:uid="{00000000-0005-0000-0000-0000430D0000}"/>
    <cellStyle name="s_Bal Sheets (2)_1" xfId="1284" xr:uid="{00000000-0005-0000-0000-0000440D0000}"/>
    <cellStyle name="s_Bal Sheets (2)_2" xfId="1285" xr:uid="{00000000-0005-0000-0000-0000450D0000}"/>
    <cellStyle name="s_btr_2" xfId="1286" xr:uid="{00000000-0005-0000-0000-0000460D0000}"/>
    <cellStyle name="s_btr_2_1" xfId="1287" xr:uid="{00000000-0005-0000-0000-0000470D0000}"/>
    <cellStyle name="s_btr_2_2" xfId="1288" xr:uid="{00000000-0005-0000-0000-0000480D0000}"/>
    <cellStyle name="s_btr_3" xfId="1289" xr:uid="{00000000-0005-0000-0000-0000490D0000}"/>
    <cellStyle name="s_btr_3_1" xfId="1290" xr:uid="{00000000-0005-0000-0000-00004A0D0000}"/>
    <cellStyle name="s_Bullet model 122" xfId="1291" xr:uid="{00000000-0005-0000-0000-00004B0D0000}"/>
    <cellStyle name="s_Buy Back Model_adapted" xfId="1292" xr:uid="{00000000-0005-0000-0000-00004C0D0000}"/>
    <cellStyle name="s_Cases (2)" xfId="1293" xr:uid="{00000000-0005-0000-0000-00004D0D0000}"/>
    <cellStyle name="s_Cases (2)_1" xfId="1294" xr:uid="{00000000-0005-0000-0000-00004E0D0000}"/>
    <cellStyle name="s_Cases (2)_1_M&amp;A Model" xfId="1295" xr:uid="{00000000-0005-0000-0000-00004F0D0000}"/>
    <cellStyle name="s_Cases (2)_1_M&amp;A projections" xfId="1296" xr:uid="{00000000-0005-0000-0000-0000500D0000}"/>
    <cellStyle name="s_Cases (2)_2" xfId="1297" xr:uid="{00000000-0005-0000-0000-0000510D0000}"/>
    <cellStyle name="s_Cases (2)_M&amp;A Model" xfId="1298" xr:uid="{00000000-0005-0000-0000-0000520D0000}"/>
    <cellStyle name="s_Cases (2)_M&amp;A projections" xfId="1299" xr:uid="{00000000-0005-0000-0000-0000530D0000}"/>
    <cellStyle name="s_Cases (3)" xfId="1300" xr:uid="{00000000-0005-0000-0000-0000540D0000}"/>
    <cellStyle name="s_Cases (3)_1" xfId="1301" xr:uid="{00000000-0005-0000-0000-0000550D0000}"/>
    <cellStyle name="s_Cases (3)_2" xfId="1302" xr:uid="{00000000-0005-0000-0000-0000560D0000}"/>
    <cellStyle name="s_Cases (4)" xfId="1303" xr:uid="{00000000-0005-0000-0000-0000570D0000}"/>
    <cellStyle name="s_Cases (4)_1" xfId="1304" xr:uid="{00000000-0005-0000-0000-0000580D0000}"/>
    <cellStyle name="s_Crown" xfId="1305" xr:uid="{00000000-0005-0000-0000-0000590D0000}"/>
    <cellStyle name="s_Crown_1" xfId="1306" xr:uid="{00000000-0005-0000-0000-00005A0D0000}"/>
    <cellStyle name="s_Crown_2" xfId="1307" xr:uid="{00000000-0005-0000-0000-00005B0D0000}"/>
    <cellStyle name="s_dccmod1" xfId="1308" xr:uid="{00000000-0005-0000-0000-00005C0D0000}"/>
    <cellStyle name="s_dccmod1_1" xfId="1309" xr:uid="{00000000-0005-0000-0000-00005D0D0000}"/>
    <cellStyle name="s_dccmod1_2" xfId="1310" xr:uid="{00000000-0005-0000-0000-00005E0D0000}"/>
    <cellStyle name="s_dcf" xfId="1311" xr:uid="{00000000-0005-0000-0000-00005F0D0000}"/>
    <cellStyle name="s_DCF Matrix (2)" xfId="1312" xr:uid="{00000000-0005-0000-0000-0000600D0000}"/>
    <cellStyle name="s_DCF Matrix (2)_1" xfId="1313" xr:uid="{00000000-0005-0000-0000-0000610D0000}"/>
    <cellStyle name="s_DCF Matrix (3)" xfId="1314" xr:uid="{00000000-0005-0000-0000-0000620D0000}"/>
    <cellStyle name="s_DCF Matrix (3)_1" xfId="1315" xr:uid="{00000000-0005-0000-0000-0000630D0000}"/>
    <cellStyle name="s_DCF Matrix (4)" xfId="1316" xr:uid="{00000000-0005-0000-0000-0000640D0000}"/>
    <cellStyle name="s_DCF Matrix (4)_1" xfId="1317" xr:uid="{00000000-0005-0000-0000-0000650D0000}"/>
    <cellStyle name="s_DCF Matrix (4)_2" xfId="1318" xr:uid="{00000000-0005-0000-0000-0000660D0000}"/>
    <cellStyle name="s_dcf_1" xfId="1319" xr:uid="{00000000-0005-0000-0000-0000670D0000}"/>
    <cellStyle name="s_DCFLBO Code" xfId="1320" xr:uid="{00000000-0005-0000-0000-0000680D0000}"/>
    <cellStyle name="s_DCFLBO Code_1" xfId="1321" xr:uid="{00000000-0005-0000-0000-0000690D0000}"/>
    <cellStyle name="s_Definc_dcf_Industries_270301_ma" xfId="1322" xr:uid="{00000000-0005-0000-0000-00006A0D0000}"/>
    <cellStyle name="s_Dilution" xfId="1323" xr:uid="{00000000-0005-0000-0000-00006B0D0000}"/>
    <cellStyle name="s_DMPR Sale (2)" xfId="1324" xr:uid="{00000000-0005-0000-0000-00006C0D0000}"/>
    <cellStyle name="s_Earnings (2)" xfId="1325" xr:uid="{00000000-0005-0000-0000-00006D0D0000}"/>
    <cellStyle name="s_Earnings (2)_1" xfId="1326" xr:uid="{00000000-0005-0000-0000-00006E0D0000}"/>
    <cellStyle name="s_Earnings (2)_1_M&amp;A Model" xfId="1327" xr:uid="{00000000-0005-0000-0000-00006F0D0000}"/>
    <cellStyle name="s_Earnings (2)_1_M&amp;A projections" xfId="1328" xr:uid="{00000000-0005-0000-0000-0000700D0000}"/>
    <cellStyle name="s_Earnings (2)_2" xfId="1329" xr:uid="{00000000-0005-0000-0000-0000710D0000}"/>
    <cellStyle name="s_Earnings (2)_2_M&amp;A Model" xfId="1330" xr:uid="{00000000-0005-0000-0000-0000720D0000}"/>
    <cellStyle name="s_Earnings (2)_2_M&amp;A projections" xfId="1331" xr:uid="{00000000-0005-0000-0000-0000730D0000}"/>
    <cellStyle name="s_Earnings (2)_M&amp;A Model" xfId="1332" xr:uid="{00000000-0005-0000-0000-0000740D0000}"/>
    <cellStyle name="s_Earnings (2)_M&amp;A projections" xfId="1333" xr:uid="{00000000-0005-0000-0000-0000750D0000}"/>
    <cellStyle name="s_Earn-out (2)" xfId="1334" xr:uid="{00000000-0005-0000-0000-0000760D0000}"/>
    <cellStyle name="s_Earn-out (2)_1" xfId="1335" xr:uid="{00000000-0005-0000-0000-0000770D0000}"/>
    <cellStyle name="s_Euro 2 (2)" xfId="1336" xr:uid="{00000000-0005-0000-0000-0000780D0000}"/>
    <cellStyle name="s_Euro 2 (2)_1" xfId="1337" xr:uid="{00000000-0005-0000-0000-0000790D0000}"/>
    <cellStyle name="s_Euro PICS (2)" xfId="1338" xr:uid="{00000000-0005-0000-0000-00007A0D0000}"/>
    <cellStyle name="s_Euro PICS (2)_1" xfId="1339" xr:uid="{00000000-0005-0000-0000-00007B0D0000}"/>
    <cellStyle name="s_Euro PICS (3)" xfId="1340" xr:uid="{00000000-0005-0000-0000-00007C0D0000}"/>
    <cellStyle name="s_Euro PICS (3)_1" xfId="1341" xr:uid="{00000000-0005-0000-0000-00007D0D0000}"/>
    <cellStyle name="s_Europe (2)" xfId="1342" xr:uid="{00000000-0005-0000-0000-00007E0D0000}"/>
    <cellStyle name="s_Europe (2)_1" xfId="1343" xr:uid="{00000000-0005-0000-0000-00007F0D0000}"/>
    <cellStyle name="s_Europe (2)_2" xfId="1344" xr:uid="{00000000-0005-0000-0000-0000800D0000}"/>
    <cellStyle name="s_Final Model2" xfId="1345" xr:uid="{00000000-0005-0000-0000-0000810D0000}"/>
    <cellStyle name="s_Final Model2_1" xfId="1346" xr:uid="{00000000-0005-0000-0000-0000820D0000}"/>
    <cellStyle name="s_FINALWOOLMODEL" xfId="1347" xr:uid="{00000000-0005-0000-0000-0000830D0000}"/>
    <cellStyle name="s_Financials_B" xfId="1348" xr:uid="{00000000-0005-0000-0000-0000840D0000}"/>
    <cellStyle name="s_Financials_T" xfId="1349" xr:uid="{00000000-0005-0000-0000-0000850D0000}"/>
    <cellStyle name="s_Grandvision_LBO2" xfId="1350" xr:uid="{00000000-0005-0000-0000-0000860D0000}"/>
    <cellStyle name="s_Grouse+Pelican" xfId="1351" xr:uid="{00000000-0005-0000-0000-0000870D0000}"/>
    <cellStyle name="s_Hist Inputs (2)" xfId="1352" xr:uid="{00000000-0005-0000-0000-0000880D0000}"/>
    <cellStyle name="s_Hist Inputs (2)_1" xfId="1353" xr:uid="{00000000-0005-0000-0000-0000890D0000}"/>
    <cellStyle name="s_Hist Inputs (3)" xfId="1354" xr:uid="{00000000-0005-0000-0000-00008A0D0000}"/>
    <cellStyle name="s_Hist Inputs (3)_1" xfId="1355" xr:uid="{00000000-0005-0000-0000-00008B0D0000}"/>
    <cellStyle name="s_Hist Inputs (4)" xfId="1356" xr:uid="{00000000-0005-0000-0000-00008C0D0000}"/>
    <cellStyle name="s_Hist Inputs (4)_1" xfId="1357" xr:uid="{00000000-0005-0000-0000-00008D0D0000}"/>
    <cellStyle name="s_LBO" xfId="1358" xr:uid="{00000000-0005-0000-0000-00008E0D0000}"/>
    <cellStyle name="s_LBO IRR (2)" xfId="1359" xr:uid="{00000000-0005-0000-0000-00008F0D0000}"/>
    <cellStyle name="s_LBO IRR (2)_1" xfId="1360" xr:uid="{00000000-0005-0000-0000-0000900D0000}"/>
    <cellStyle name="s_LBO Sens (2)" xfId="1361" xr:uid="{00000000-0005-0000-0000-0000910D0000}"/>
    <cellStyle name="s_LBO Sens (2)_1" xfId="1362" xr:uid="{00000000-0005-0000-0000-0000920D0000}"/>
    <cellStyle name="s_LBO Sens (2)_2" xfId="1363" xr:uid="{00000000-0005-0000-0000-0000930D0000}"/>
    <cellStyle name="s_LBO Summary (2)" xfId="1364" xr:uid="{00000000-0005-0000-0000-0000940D0000}"/>
    <cellStyle name="s_LBO Summary (2)_1" xfId="1365" xr:uid="{00000000-0005-0000-0000-0000950D0000}"/>
    <cellStyle name="s_LBO_1" xfId="1366" xr:uid="{00000000-0005-0000-0000-0000960D0000}"/>
    <cellStyle name="s_LBO_2" xfId="1367" xr:uid="{00000000-0005-0000-0000-0000970D0000}"/>
    <cellStyle name="s_lbo1" xfId="1368" xr:uid="{00000000-0005-0000-0000-0000980D0000}"/>
    <cellStyle name="s_lbo1_1" xfId="1369" xr:uid="{00000000-0005-0000-0000-0000990D0000}"/>
    <cellStyle name="s_lbo1_2" xfId="1370" xr:uid="{00000000-0005-0000-0000-00009A0D0000}"/>
    <cellStyle name="s_lbo3" xfId="1371" xr:uid="{00000000-0005-0000-0000-00009B0D0000}"/>
    <cellStyle name="s_lbo3_1" xfId="1372" xr:uid="{00000000-0005-0000-0000-00009C0D0000}"/>
    <cellStyle name="s_LBO5" xfId="1373" xr:uid="{00000000-0005-0000-0000-00009D0D0000}"/>
    <cellStyle name="s_LBO5_1" xfId="1374" xr:uid="{00000000-0005-0000-0000-00009E0D0000}"/>
    <cellStyle name="s_M&amp;A Model" xfId="1375" xr:uid="{00000000-0005-0000-0000-00009F0D0000}"/>
    <cellStyle name="s_M&amp;A projections" xfId="1376" xr:uid="{00000000-0005-0000-0000-0000A00D0000}"/>
    <cellStyle name="s_MainPrint Code" xfId="1377" xr:uid="{00000000-0005-0000-0000-0000A10D0000}"/>
    <cellStyle name="s_MainPrint Code_1" xfId="1378" xr:uid="{00000000-0005-0000-0000-0000A20D0000}"/>
    <cellStyle name="s_Matrix_B" xfId="1379" xr:uid="{00000000-0005-0000-0000-0000A30D0000}"/>
    <cellStyle name="s_Matrix_T" xfId="1380" xr:uid="{00000000-0005-0000-0000-0000A40D0000}"/>
    <cellStyle name="s_Merger" xfId="1381" xr:uid="{00000000-0005-0000-0000-0000A50D0000}"/>
    <cellStyle name="s_mod14" xfId="1382" xr:uid="{00000000-0005-0000-0000-0000A60D0000}"/>
    <cellStyle name="s_mod14_1" xfId="1383" xr:uid="{00000000-0005-0000-0000-0000A70D0000}"/>
    <cellStyle name="s_mod7" xfId="1384" xr:uid="{00000000-0005-0000-0000-0000A80D0000}"/>
    <cellStyle name="s_mod7_1" xfId="1385" xr:uid="{00000000-0005-0000-0000-0000A90D0000}"/>
    <cellStyle name="s_mod9" xfId="1386" xr:uid="{00000000-0005-0000-0000-0000AA0D0000}"/>
    <cellStyle name="s_mod9_1" xfId="1387" xr:uid="{00000000-0005-0000-0000-0000AB0D0000}"/>
    <cellStyle name="s_model1" xfId="1388" xr:uid="{00000000-0005-0000-0000-0000AC0D0000}"/>
    <cellStyle name="s_model1_1" xfId="1389" xr:uid="{00000000-0005-0000-0000-0000AD0D0000}"/>
    <cellStyle name="s_model1_2" xfId="1390" xr:uid="{00000000-0005-0000-0000-0000AE0D0000}"/>
    <cellStyle name="s_model19" xfId="1391" xr:uid="{00000000-0005-0000-0000-0000AF0D0000}"/>
    <cellStyle name="s_model19_1" xfId="1392" xr:uid="{00000000-0005-0000-0000-0000B00D0000}"/>
    <cellStyle name="s_model2" xfId="1393" xr:uid="{00000000-0005-0000-0000-0000B10D0000}"/>
    <cellStyle name="s_model6" xfId="1394" xr:uid="{00000000-0005-0000-0000-0000B20D0000}"/>
    <cellStyle name="s_model6_1" xfId="1395" xr:uid="{00000000-0005-0000-0000-0000B30D0000}"/>
    <cellStyle name="s_model6_2" xfId="1396" xr:uid="{00000000-0005-0000-0000-0000B40D0000}"/>
    <cellStyle name="s_NOL (2)" xfId="1397" xr:uid="{00000000-0005-0000-0000-0000B50D0000}"/>
    <cellStyle name="s_NOL (2)_1" xfId="1398" xr:uid="{00000000-0005-0000-0000-0000B60D0000}"/>
    <cellStyle name="s_NOL (2)_2" xfId="1399" xr:uid="{00000000-0005-0000-0000-0000B70D0000}"/>
    <cellStyle name="s_P_L_Ratios" xfId="1400" xr:uid="{00000000-0005-0000-0000-0000B80D0000}"/>
    <cellStyle name="s_P_L_Ratios_B" xfId="1401" xr:uid="{00000000-0005-0000-0000-0000B90D0000}"/>
    <cellStyle name="s_Paint 18 - MC" xfId="1402" xr:uid="{00000000-0005-0000-0000-0000BA0D0000}"/>
    <cellStyle name="s_PFMA Cap (2)" xfId="1403" xr:uid="{00000000-0005-0000-0000-0000BB0D0000}"/>
    <cellStyle name="s_PFMA Cap (2)_1" xfId="1404" xr:uid="{00000000-0005-0000-0000-0000BC0D0000}"/>
    <cellStyle name="s_PFMA Cap (2)_2" xfId="1405" xr:uid="{00000000-0005-0000-0000-0000BD0D0000}"/>
    <cellStyle name="s_PFMA Credit (2)" xfId="1406" xr:uid="{00000000-0005-0000-0000-0000BE0D0000}"/>
    <cellStyle name="s_PFMA Credit (2)_1" xfId="1407" xr:uid="{00000000-0005-0000-0000-0000BF0D0000}"/>
    <cellStyle name="s_RECESSA" xfId="1408" xr:uid="{00000000-0005-0000-0000-0000C00D0000}"/>
    <cellStyle name="s_RECESSA_1" xfId="1409" xr:uid="{00000000-0005-0000-0000-0000C10D0000}"/>
    <cellStyle name="s_Restructuring (2)" xfId="1410" xr:uid="{00000000-0005-0000-0000-0000C20D0000}"/>
    <cellStyle name="s_Restructuring (2)_1" xfId="1411" xr:uid="{00000000-0005-0000-0000-0000C30D0000}"/>
    <cellStyle name="s_Restructuring (2)_2" xfId="1412" xr:uid="{00000000-0005-0000-0000-0000C40D0000}"/>
    <cellStyle name="s_Revised" xfId="1413" xr:uid="{00000000-0005-0000-0000-0000C50D0000}"/>
    <cellStyle name="s_S_By_S" xfId="1414" xr:uid="{00000000-0005-0000-0000-0000C60D0000}"/>
    <cellStyle name="s_saft_1" xfId="1415" xr:uid="{00000000-0005-0000-0000-0000C70D0000}"/>
    <cellStyle name="s_saft_1_2" xfId="1416" xr:uid="{00000000-0005-0000-0000-0000C80D0000}"/>
    <cellStyle name="s_Schedules (2)" xfId="1417" xr:uid="{00000000-0005-0000-0000-0000C90D0000}"/>
    <cellStyle name="s_Schedules (2)_1" xfId="1418" xr:uid="{00000000-0005-0000-0000-0000CA0D0000}"/>
    <cellStyle name="s_Schedules (2)_2" xfId="1419" xr:uid="{00000000-0005-0000-0000-0000CB0D0000}"/>
    <cellStyle name="s_Sheet5" xfId="1420" xr:uid="{00000000-0005-0000-0000-0000CC0D0000}"/>
    <cellStyle name="s_Standalone (2)" xfId="1421" xr:uid="{00000000-0005-0000-0000-0000CD0D0000}"/>
    <cellStyle name="s_Standalone (2)_1" xfId="1422" xr:uid="{00000000-0005-0000-0000-0000CE0D0000}"/>
    <cellStyle name="s_Standalone (2)_2" xfId="1423" xr:uid="{00000000-0005-0000-0000-0000CF0D0000}"/>
    <cellStyle name="s_Trading Val Calc (2)" xfId="1424" xr:uid="{00000000-0005-0000-0000-0000D00D0000}"/>
    <cellStyle name="s_Trading Val Calc (2)_1" xfId="1425" xr:uid="{00000000-0005-0000-0000-0000D10D0000}"/>
    <cellStyle name="s_Val Sum (2)" xfId="1426" xr:uid="{00000000-0005-0000-0000-0000D20D0000}"/>
    <cellStyle name="s_Val Sum (2)_1" xfId="1427" xr:uid="{00000000-0005-0000-0000-0000D30D0000}"/>
    <cellStyle name="s_Val Sum (2)_2" xfId="1428" xr:uid="{00000000-0005-0000-0000-0000D40D0000}"/>
    <cellStyle name="s_Valuation " xfId="1429" xr:uid="{00000000-0005-0000-0000-0000D50D0000}"/>
    <cellStyle name="s_WACC benchmarking" xfId="1430" xr:uid="{00000000-0005-0000-0000-0000D60D0000}"/>
    <cellStyle name="s_WACC benchmarking 2" xfId="3688" xr:uid="{00000000-0005-0000-0000-0000D70D0000}"/>
    <cellStyle name="s_West Ham (2)" xfId="1431" xr:uid="{00000000-0005-0000-0000-0000D80D0000}"/>
    <cellStyle name="s_West Ham (2)_1" xfId="1432" xr:uid="{00000000-0005-0000-0000-0000D90D0000}"/>
    <cellStyle name="s_West Ham (2)_2" xfId="1433" xr:uid="{00000000-0005-0000-0000-0000DA0D0000}"/>
    <cellStyle name="s_Westham (2)" xfId="1434" xr:uid="{00000000-0005-0000-0000-0000DB0D0000}"/>
    <cellStyle name="s_Westham (2)_1" xfId="1435" xr:uid="{00000000-0005-0000-0000-0000DC0D0000}"/>
    <cellStyle name="s_Westham (2)_2" xfId="1436" xr:uid="{00000000-0005-0000-0000-0000DD0D0000}"/>
    <cellStyle name="s_Wool_01_07_12_1999_1" xfId="1437" xr:uid="{00000000-0005-0000-0000-0000DE0D0000}"/>
    <cellStyle name="s_Wool_01_07_12_1999_2" xfId="1438" xr:uid="{00000000-0005-0000-0000-0000DF0D0000}"/>
    <cellStyle name="s_Wool_14_12_1999_2" xfId="1439" xr:uid="{00000000-0005-0000-0000-0000E00D0000}"/>
    <cellStyle name="s_Wool_15_02_2000" xfId="1440" xr:uid="{00000000-0005-0000-0000-0000E10D0000}"/>
    <cellStyle name="s_Wool_15_02_2000_1" xfId="1441" xr:uid="{00000000-0005-0000-0000-0000E20D0000}"/>
    <cellStyle name="s_Wool_15_02_2000_2" xfId="1442" xr:uid="{00000000-0005-0000-0000-0000E30D0000}"/>
    <cellStyle name="s_WoolEuro_12_04_2000_02_1" xfId="1443" xr:uid="{00000000-0005-0000-0000-0000E40D0000}"/>
    <cellStyle name="s_WoolEuro_12_04_2000_02_2" xfId="1444" xr:uid="{00000000-0005-0000-0000-0000E50D0000}"/>
    <cellStyle name="s_WoolEuro_17_03_2000_1" xfId="1445" xr:uid="{00000000-0005-0000-0000-0000E60D0000}"/>
    <cellStyle name="s_WoolEuro_20_03_2000_3" xfId="1446" xr:uid="{00000000-0005-0000-0000-0000E70D0000}"/>
    <cellStyle name="s_WoolEuroEx_14_04_2000_01" xfId="1447" xr:uid="{00000000-0005-0000-0000-0000E80D0000}"/>
    <cellStyle name="s_WoolEuroEx_14_04_2000_01_1" xfId="1448" xr:uid="{00000000-0005-0000-0000-0000E90D0000}"/>
    <cellStyle name="Salomon Logo" xfId="1449" xr:uid="{00000000-0005-0000-0000-0000EA0D0000}"/>
    <cellStyle name="same_prices" xfId="1450" xr:uid="{00000000-0005-0000-0000-0000EB0D0000}"/>
    <cellStyle name="SAPBEXaggData" xfId="1451" xr:uid="{00000000-0005-0000-0000-0000EC0D0000}"/>
    <cellStyle name="SAPBEXaggDataEmph" xfId="1452" xr:uid="{00000000-0005-0000-0000-0000ED0D0000}"/>
    <cellStyle name="SAPBEXaggExc1" xfId="1453" xr:uid="{00000000-0005-0000-0000-0000EE0D0000}"/>
    <cellStyle name="SAPBEXaggExc1Emph" xfId="1454" xr:uid="{00000000-0005-0000-0000-0000EF0D0000}"/>
    <cellStyle name="SAPBEXaggExc2" xfId="1455" xr:uid="{00000000-0005-0000-0000-0000F00D0000}"/>
    <cellStyle name="SAPBEXaggExc2Emph" xfId="1456" xr:uid="{00000000-0005-0000-0000-0000F10D0000}"/>
    <cellStyle name="SAPBEXaggItem" xfId="1457" xr:uid="{00000000-0005-0000-0000-0000F20D0000}"/>
    <cellStyle name="SAPBEXchaText" xfId="1458" xr:uid="{00000000-0005-0000-0000-0000F30D0000}"/>
    <cellStyle name="SAPBEXfilterDrill" xfId="1459" xr:uid="{00000000-0005-0000-0000-0000F40D0000}"/>
    <cellStyle name="SAPBEXfilterItem" xfId="1460" xr:uid="{00000000-0005-0000-0000-0000F50D0000}"/>
    <cellStyle name="SAPBEXfilterText" xfId="1461" xr:uid="{00000000-0005-0000-0000-0000F60D0000}"/>
    <cellStyle name="SAPBEXformats" xfId="1462" xr:uid="{00000000-0005-0000-0000-0000F70D0000}"/>
    <cellStyle name="SAPBEXheaderData" xfId="1463" xr:uid="{00000000-0005-0000-0000-0000F80D0000}"/>
    <cellStyle name="SAPBEXheaderItem" xfId="1464" xr:uid="{00000000-0005-0000-0000-0000F90D0000}"/>
    <cellStyle name="SAPBEXheaderText" xfId="1465" xr:uid="{00000000-0005-0000-0000-0000FA0D0000}"/>
    <cellStyle name="SAPBEXresData" xfId="1466" xr:uid="{00000000-0005-0000-0000-0000FB0D0000}"/>
    <cellStyle name="SAPBEXresDataEmph" xfId="1467" xr:uid="{00000000-0005-0000-0000-0000FC0D0000}"/>
    <cellStyle name="SAPBEXresExc1" xfId="1468" xr:uid="{00000000-0005-0000-0000-0000FD0D0000}"/>
    <cellStyle name="SAPBEXresExc1Emph" xfId="1469" xr:uid="{00000000-0005-0000-0000-0000FE0D0000}"/>
    <cellStyle name="SAPBEXresExc2" xfId="1470" xr:uid="{00000000-0005-0000-0000-0000FF0D0000}"/>
    <cellStyle name="SAPBEXresExc2Emph" xfId="1471" xr:uid="{00000000-0005-0000-0000-0000000E0000}"/>
    <cellStyle name="SAPBEXresItem" xfId="1472" xr:uid="{00000000-0005-0000-0000-0000010E0000}"/>
    <cellStyle name="SAPBEXstdData" xfId="1473" xr:uid="{00000000-0005-0000-0000-0000020E0000}"/>
    <cellStyle name="SAPBEXstdDataEmph" xfId="1474" xr:uid="{00000000-0005-0000-0000-0000030E0000}"/>
    <cellStyle name="SAPBEXstdExc1" xfId="1475" xr:uid="{00000000-0005-0000-0000-0000040E0000}"/>
    <cellStyle name="SAPBEXstdExc1Emph" xfId="1476" xr:uid="{00000000-0005-0000-0000-0000050E0000}"/>
    <cellStyle name="SAPBEXstdExc2" xfId="1477" xr:uid="{00000000-0005-0000-0000-0000060E0000}"/>
    <cellStyle name="SAPBEXstdExc2Emph" xfId="1478" xr:uid="{00000000-0005-0000-0000-0000070E0000}"/>
    <cellStyle name="SAPBEXstdItem" xfId="1479" xr:uid="{00000000-0005-0000-0000-0000080E0000}"/>
    <cellStyle name="SAPBEXsubData" xfId="1480" xr:uid="{00000000-0005-0000-0000-0000090E0000}"/>
    <cellStyle name="SAPBEXsubDataEmph" xfId="1481" xr:uid="{00000000-0005-0000-0000-00000A0E0000}"/>
    <cellStyle name="SAPBEXsubExc1" xfId="1482" xr:uid="{00000000-0005-0000-0000-00000B0E0000}"/>
    <cellStyle name="SAPBEXsubExc1Emph" xfId="1483" xr:uid="{00000000-0005-0000-0000-00000C0E0000}"/>
    <cellStyle name="SAPBEXsubExc2" xfId="1484" xr:uid="{00000000-0005-0000-0000-00000D0E0000}"/>
    <cellStyle name="SAPBEXsubExc2Emph" xfId="1485" xr:uid="{00000000-0005-0000-0000-00000E0E0000}"/>
    <cellStyle name="SAPBEXsubItem" xfId="1486" xr:uid="{00000000-0005-0000-0000-00000F0E0000}"/>
    <cellStyle name="SAPBEXtitle" xfId="1487" xr:uid="{00000000-0005-0000-0000-0000100E0000}"/>
    <cellStyle name="SAPBEXundefined" xfId="1488" xr:uid="{00000000-0005-0000-0000-0000110E0000}"/>
    <cellStyle name="SAPKey" xfId="1489" xr:uid="{00000000-0005-0000-0000-0000120E0000}"/>
    <cellStyle name="SAPLocked" xfId="1490" xr:uid="{00000000-0005-0000-0000-0000130E0000}"/>
    <cellStyle name="SAPOutput" xfId="1491" xr:uid="{00000000-0005-0000-0000-0000140E0000}"/>
    <cellStyle name="SAPSpace" xfId="1492" xr:uid="{00000000-0005-0000-0000-0000150E0000}"/>
    <cellStyle name="SAPText" xfId="1493" xr:uid="{00000000-0005-0000-0000-0000160E0000}"/>
    <cellStyle name="SAPUnLocked" xfId="1494" xr:uid="{00000000-0005-0000-0000-0000170E0000}"/>
    <cellStyle name="ScripFactor" xfId="1495" xr:uid="{00000000-0005-0000-0000-0000180E0000}"/>
    <cellStyle name="sd" xfId="1496" xr:uid="{00000000-0005-0000-0000-0000190E0000}"/>
    <cellStyle name="Section" xfId="1497" xr:uid="{00000000-0005-0000-0000-00001A0E0000}"/>
    <cellStyle name="Section name" xfId="1498" xr:uid="{00000000-0005-0000-0000-00001B0E0000}"/>
    <cellStyle name="Section Title" xfId="1499" xr:uid="{00000000-0005-0000-0000-00001C0E0000}"/>
    <cellStyle name="Section_M&amp;A Model" xfId="1500" xr:uid="{00000000-0005-0000-0000-00001D0E0000}"/>
    <cellStyle name="SectionHeading" xfId="1501" xr:uid="{00000000-0005-0000-0000-00001E0E0000}"/>
    <cellStyle name="Separador de milhares [0]_planbrasil 1" xfId="1502" xr:uid="{00000000-0005-0000-0000-00001F0E0000}"/>
    <cellStyle name="Separador de milhares_planbrasil 1" xfId="1503" xr:uid="{00000000-0005-0000-0000-0000200E0000}"/>
    <cellStyle name="sf" xfId="1504" xr:uid="{00000000-0005-0000-0000-0000210E0000}"/>
    <cellStyle name="sff" xfId="1505" xr:uid="{00000000-0005-0000-0000-0000220E0000}"/>
    <cellStyle name="Shaded" xfId="1506" xr:uid="{00000000-0005-0000-0000-0000230E0000}"/>
    <cellStyle name="Shading" xfId="1507" xr:uid="{00000000-0005-0000-0000-0000240E0000}"/>
    <cellStyle name="Shares" xfId="1508" xr:uid="{00000000-0005-0000-0000-0000250E0000}"/>
    <cellStyle name="Sheetmult" xfId="1509" xr:uid="{00000000-0005-0000-0000-0000260E0000}"/>
    <cellStyle name="Short Date" xfId="1510" xr:uid="{00000000-0005-0000-0000-0000270E0000}"/>
    <cellStyle name="Short Time" xfId="1511" xr:uid="{00000000-0005-0000-0000-0000280E0000}"/>
    <cellStyle name="Shtmultx" xfId="1512" xr:uid="{00000000-0005-0000-0000-0000290E0000}"/>
    <cellStyle name="Single Accounting" xfId="1513" xr:uid="{00000000-0005-0000-0000-00002A0E0000}"/>
    <cellStyle name="Single Border" xfId="1514" xr:uid="{00000000-0005-0000-0000-00002B0E0000}"/>
    <cellStyle name="Single Underline" xfId="1515" xr:uid="{00000000-0005-0000-0000-00002C0E0000}"/>
    <cellStyle name="Small Number" xfId="1516" xr:uid="{00000000-0005-0000-0000-00002D0E0000}"/>
    <cellStyle name="Small Page Heading" xfId="1517" xr:uid="{00000000-0005-0000-0000-00002E0E0000}"/>
    <cellStyle name="Small Percentage" xfId="1518" xr:uid="{00000000-0005-0000-0000-00002F0E0000}"/>
    <cellStyle name="Spreadsheet title" xfId="1519" xr:uid="{00000000-0005-0000-0000-0000300E0000}"/>
    <cellStyle name="spt" xfId="1520" xr:uid="{00000000-0005-0000-0000-0000310E0000}"/>
    <cellStyle name="ss" xfId="1521" xr:uid="{00000000-0005-0000-0000-0000320E0000}"/>
    <cellStyle name="ss0" xfId="1522" xr:uid="{00000000-0005-0000-0000-0000330E0000}"/>
    <cellStyle name="ss0 2" xfId="3689" xr:uid="{00000000-0005-0000-0000-0000340E0000}"/>
    <cellStyle name="ss1" xfId="1523" xr:uid="{00000000-0005-0000-0000-0000350E0000}"/>
    <cellStyle name="ss1 2" xfId="3690" xr:uid="{00000000-0005-0000-0000-0000360E0000}"/>
    <cellStyle name="ss2" xfId="1524" xr:uid="{00000000-0005-0000-0000-0000370E0000}"/>
    <cellStyle name="ss2 2" xfId="3691" xr:uid="{00000000-0005-0000-0000-0000380E0000}"/>
    <cellStyle name="ssp " xfId="1525" xr:uid="{00000000-0005-0000-0000-0000390E0000}"/>
    <cellStyle name="st" xfId="1526" xr:uid="{00000000-0005-0000-0000-00003A0E0000}"/>
    <cellStyle name="Standaard_balance" xfId="1527" xr:uid="{00000000-0005-0000-0000-00003B0E0000}"/>
    <cellStyle name="Standard" xfId="1528" xr:uid="{00000000-0005-0000-0000-00003C0E0000}"/>
    <cellStyle name="Standard Header" xfId="1529" xr:uid="{00000000-0005-0000-0000-00003D0E0000}"/>
    <cellStyle name="Standard__Utopia Index Index und Guidance (Deutsch)" xfId="1530" xr:uid="{00000000-0005-0000-0000-00003E0E0000}"/>
    <cellStyle name="Std_1" xfId="1531" xr:uid="{00000000-0005-0000-0000-00003F0E0000}"/>
    <cellStyle name="Stock Comma" xfId="1532" xr:uid="{00000000-0005-0000-0000-0000400E0000}"/>
    <cellStyle name="Stock Price" xfId="1533" xr:uid="{00000000-0005-0000-0000-0000410E0000}"/>
    <cellStyle name="Strange" xfId="1534" xr:uid="{00000000-0005-0000-0000-0000420E0000}"/>
    <cellStyle name="Strictly confidential" xfId="1535" xr:uid="{00000000-0005-0000-0000-0000430E0000}"/>
    <cellStyle name="Strictly confidential 2" xfId="3692" xr:uid="{00000000-0005-0000-0000-0000440E0000}"/>
    <cellStyle name="STYL1 - Style1" xfId="1536" xr:uid="{00000000-0005-0000-0000-0000450E0000}"/>
    <cellStyle name="Style 1" xfId="1537" xr:uid="{00000000-0005-0000-0000-0000460E0000}"/>
    <cellStyle name="Style 2" xfId="1538" xr:uid="{00000000-0005-0000-0000-0000470E0000}"/>
    <cellStyle name="Style 3" xfId="1539" xr:uid="{00000000-0005-0000-0000-0000480E0000}"/>
    <cellStyle name="Subhead" xfId="1540" xr:uid="{00000000-0005-0000-0000-0000490E0000}"/>
    <cellStyle name="Subheadbldun" xfId="1541" xr:uid="{00000000-0005-0000-0000-00004A0E0000}"/>
    <cellStyle name="SubHeading" xfId="1542" xr:uid="{00000000-0005-0000-0000-00004B0E0000}"/>
    <cellStyle name="SubHeading 1" xfId="1543" xr:uid="{00000000-0005-0000-0000-00004C0E0000}"/>
    <cellStyle name="SubHeading 2" xfId="1544" xr:uid="{00000000-0005-0000-0000-00004D0E0000}"/>
    <cellStyle name="SubHeading_57 Project Fly (2)" xfId="1545" xr:uid="{00000000-0005-0000-0000-00004E0E0000}"/>
    <cellStyle name="SubsidTitle" xfId="1546" xr:uid="{00000000-0005-0000-0000-00004F0E0000}"/>
    <cellStyle name="SubsubHead" xfId="1547" xr:uid="{00000000-0005-0000-0000-0000500E0000}"/>
    <cellStyle name="Subtitle" xfId="1548" xr:uid="{00000000-0005-0000-0000-0000510E0000}"/>
    <cellStyle name="Sub-titulo" xfId="1549" xr:uid="{00000000-0005-0000-0000-0000520E0000}"/>
    <cellStyle name="Sub-titulo 2" xfId="1550" xr:uid="{00000000-0005-0000-0000-0000530E0000}"/>
    <cellStyle name="Subtotal" xfId="1551" xr:uid="{00000000-0005-0000-0000-0000540E0000}"/>
    <cellStyle name="Sub-total" xfId="1552" xr:uid="{00000000-0005-0000-0000-0000550E0000}"/>
    <cellStyle name="Subtotal 2" xfId="3693" xr:uid="{00000000-0005-0000-0000-0000560E0000}"/>
    <cellStyle name="Subtotal_left" xfId="1553" xr:uid="{00000000-0005-0000-0000-0000570E0000}"/>
    <cellStyle name="Summary" xfId="1554" xr:uid="{00000000-0005-0000-0000-0000580E0000}"/>
    <cellStyle name="Summe" xfId="1555" xr:uid="{00000000-0005-0000-0000-0000590E0000}"/>
    <cellStyle name="SuppCalc (0.0)" xfId="1556" xr:uid="{00000000-0005-0000-0000-00005A0E0000}"/>
    <cellStyle name="SwitchA" xfId="1557" xr:uid="{00000000-0005-0000-0000-00005B0E0000}"/>
    <cellStyle name="SwitchR" xfId="1558" xr:uid="{00000000-0005-0000-0000-00005C0E0000}"/>
    <cellStyle name="t" xfId="1559" xr:uid="{00000000-0005-0000-0000-00005D0E0000}"/>
    <cellStyle name="t#" xfId="1560" xr:uid="{00000000-0005-0000-0000-00005E0E0000}"/>
    <cellStyle name="t%" xfId="1561" xr:uid="{00000000-0005-0000-0000-00005F0E0000}"/>
    <cellStyle name="t_Ithaca_Options Outstanding_20051211" xfId="1562" xr:uid="{00000000-0005-0000-0000-0000600E0000}"/>
    <cellStyle name="t_Manager" xfId="1563" xr:uid="{00000000-0005-0000-0000-0000610E0000}"/>
    <cellStyle name="t_Valuation" xfId="1564" xr:uid="{00000000-0005-0000-0000-0000620E0000}"/>
    <cellStyle name="t_WACC benchmarking" xfId="1565" xr:uid="{00000000-0005-0000-0000-0000630E0000}"/>
    <cellStyle name="t1" xfId="1566" xr:uid="{00000000-0005-0000-0000-0000640E0000}"/>
    <cellStyle name="Table" xfId="1567" xr:uid="{00000000-0005-0000-0000-0000650E0000}"/>
    <cellStyle name="Table Col Head" xfId="1568" xr:uid="{00000000-0005-0000-0000-0000660E0000}"/>
    <cellStyle name="table column heading" xfId="1569" xr:uid="{00000000-0005-0000-0000-0000670E0000}"/>
    <cellStyle name="Table Head" xfId="1570" xr:uid="{00000000-0005-0000-0000-0000680E0000}"/>
    <cellStyle name="Table Head Aligned" xfId="1571" xr:uid="{00000000-0005-0000-0000-0000690E0000}"/>
    <cellStyle name="Table Head Blue" xfId="1572" xr:uid="{00000000-0005-0000-0000-00006A0E0000}"/>
    <cellStyle name="Table Head Green" xfId="1573" xr:uid="{00000000-0005-0000-0000-00006B0E0000}"/>
    <cellStyle name="Table Head__WACC analysis" xfId="1574" xr:uid="{00000000-0005-0000-0000-00006C0E0000}"/>
    <cellStyle name="Table Heading" xfId="1575" xr:uid="{00000000-0005-0000-0000-00006D0E0000}"/>
    <cellStyle name="Table Source" xfId="1576" xr:uid="{00000000-0005-0000-0000-00006E0E0000}"/>
    <cellStyle name="Table Sub Head" xfId="1577" xr:uid="{00000000-0005-0000-0000-00006F0E0000}"/>
    <cellStyle name="Table Sub Heading" xfId="1578" xr:uid="{00000000-0005-0000-0000-0000700E0000}"/>
    <cellStyle name="Table Text" xfId="1579" xr:uid="{00000000-0005-0000-0000-0000710E0000}"/>
    <cellStyle name="Table Title" xfId="1580" xr:uid="{00000000-0005-0000-0000-0000720E0000}"/>
    <cellStyle name="Table Units" xfId="1581" xr:uid="{00000000-0005-0000-0000-0000730E0000}"/>
    <cellStyle name="Table_Header" xfId="1582" xr:uid="{00000000-0005-0000-0000-0000740E0000}"/>
    <cellStyle name="TableBase" xfId="1583" xr:uid="{00000000-0005-0000-0000-0000750E0000}"/>
    <cellStyle name="TableBase 2" xfId="3694" xr:uid="{00000000-0005-0000-0000-0000760E0000}"/>
    <cellStyle name="TableColumnHeading" xfId="1584" xr:uid="{00000000-0005-0000-0000-0000770E0000}"/>
    <cellStyle name="TableFootnotes" xfId="1585" xr:uid="{00000000-0005-0000-0000-0000780E0000}"/>
    <cellStyle name="TableHead" xfId="1586" xr:uid="{00000000-0005-0000-0000-0000790E0000}"/>
    <cellStyle name="TableName" xfId="1587" xr:uid="{00000000-0005-0000-0000-00007A0E0000}"/>
    <cellStyle name="TableSubTitleItalic" xfId="1588" xr:uid="{00000000-0005-0000-0000-00007B0E0000}"/>
    <cellStyle name="TableText" xfId="1589" xr:uid="{00000000-0005-0000-0000-00007C0E0000}"/>
    <cellStyle name="TableTitle" xfId="1590" xr:uid="{00000000-0005-0000-0000-00007D0E0000}"/>
    <cellStyle name="TableTitleFormat" xfId="1591" xr:uid="{00000000-0005-0000-0000-00007E0E0000}"/>
    <cellStyle name="Tag" xfId="1592" xr:uid="{00000000-0005-0000-0000-00007F0E0000}"/>
    <cellStyle name="Test" xfId="1593" xr:uid="{00000000-0005-0000-0000-0000800E0000}"/>
    <cellStyle name="Test [green]" xfId="1594" xr:uid="{00000000-0005-0000-0000-0000810E0000}"/>
    <cellStyle name="Text" xfId="1595" xr:uid="{00000000-0005-0000-0000-0000820E0000}"/>
    <cellStyle name="Text [4]" xfId="1596" xr:uid="{00000000-0005-0000-0000-0000830E0000}"/>
    <cellStyle name="Text [8]" xfId="1597" xr:uid="{00000000-0005-0000-0000-0000840E0000}"/>
    <cellStyle name="Text [Bullet]" xfId="1598" xr:uid="{00000000-0005-0000-0000-0000850E0000}"/>
    <cellStyle name="Text [Dash]" xfId="1599" xr:uid="{00000000-0005-0000-0000-0000860E0000}"/>
    <cellStyle name="Text [Em-Dash]" xfId="1600" xr:uid="{00000000-0005-0000-0000-0000870E0000}"/>
    <cellStyle name="Text 1" xfId="1601" xr:uid="{00000000-0005-0000-0000-0000880E0000}"/>
    <cellStyle name="Text 2" xfId="1602" xr:uid="{00000000-0005-0000-0000-0000890E0000}"/>
    <cellStyle name="Text Head" xfId="1603" xr:uid="{00000000-0005-0000-0000-00008A0E0000}"/>
    <cellStyle name="Text Head 1" xfId="1604" xr:uid="{00000000-0005-0000-0000-00008B0E0000}"/>
    <cellStyle name="Text Head 2" xfId="1605" xr:uid="{00000000-0005-0000-0000-00008C0E0000}"/>
    <cellStyle name="Text Indent 1" xfId="1606" xr:uid="{00000000-0005-0000-0000-00008D0E0000}"/>
    <cellStyle name="Text Indent 2" xfId="1607" xr:uid="{00000000-0005-0000-0000-00008E0E0000}"/>
    <cellStyle name="Text Indent A" xfId="1608" xr:uid="{00000000-0005-0000-0000-00008F0E0000}"/>
    <cellStyle name="Text Indent B" xfId="1609" xr:uid="{00000000-0005-0000-0000-0000900E0000}"/>
    <cellStyle name="Text Indent C" xfId="1610" xr:uid="{00000000-0005-0000-0000-0000910E0000}"/>
    <cellStyle name="Text Wrap" xfId="1611" xr:uid="{00000000-0005-0000-0000-0000920E0000}"/>
    <cellStyle name="Text_comparison" xfId="1612" xr:uid="{00000000-0005-0000-0000-0000930E0000}"/>
    <cellStyle name="TFCF" xfId="1613" xr:uid="{00000000-0005-0000-0000-0000940E0000}"/>
    <cellStyle name="thousand" xfId="1614" xr:uid="{00000000-0005-0000-0000-0000950E0000}"/>
    <cellStyle name="threedecplace" xfId="1615" xr:uid="{00000000-0005-0000-0000-0000960E0000}"/>
    <cellStyle name="Tick" xfId="1616" xr:uid="{00000000-0005-0000-0000-0000970E0000}"/>
    <cellStyle name="time" xfId="1617" xr:uid="{00000000-0005-0000-0000-0000980E0000}"/>
    <cellStyle name="Time Strip" xfId="1618" xr:uid="{00000000-0005-0000-0000-0000990E0000}"/>
    <cellStyle name="Time_M&amp;A Model" xfId="1619" xr:uid="{00000000-0005-0000-0000-00009A0E0000}"/>
    <cellStyle name="times" xfId="1620" xr:uid="{00000000-0005-0000-0000-00009B0E0000}"/>
    <cellStyle name="Times [1]" xfId="1621" xr:uid="{00000000-0005-0000-0000-00009C0E0000}"/>
    <cellStyle name="Times [1] Total" xfId="1622" xr:uid="{00000000-0005-0000-0000-00009D0E0000}"/>
    <cellStyle name="Times [1] Total 2" xfId="3695" xr:uid="{00000000-0005-0000-0000-00009E0E0000}"/>
    <cellStyle name="Times [1]_GP_NEM_4" xfId="1623" xr:uid="{00000000-0005-0000-0000-00009F0E0000}"/>
    <cellStyle name="Times [2]" xfId="1624" xr:uid="{00000000-0005-0000-0000-0000A00E0000}"/>
    <cellStyle name="Times [2] Total" xfId="1625" xr:uid="{00000000-0005-0000-0000-0000A10E0000}"/>
    <cellStyle name="Times [2] Total 2" xfId="3696" xr:uid="{00000000-0005-0000-0000-0000A20E0000}"/>
    <cellStyle name="Times [2]_GP_NEM_4" xfId="1626" xr:uid="{00000000-0005-0000-0000-0000A30E0000}"/>
    <cellStyle name="Times [3]" xfId="1627" xr:uid="{00000000-0005-0000-0000-0000A40E0000}"/>
    <cellStyle name="Times 10" xfId="1628" xr:uid="{00000000-0005-0000-0000-0000A50E0000}"/>
    <cellStyle name="Times 12" xfId="1629" xr:uid="{00000000-0005-0000-0000-0000A60E0000}"/>
    <cellStyle name="Times New Roman" xfId="1630" xr:uid="{00000000-0005-0000-0000-0000A70E0000}"/>
    <cellStyle name="times_EXPN" xfId="1631" xr:uid="{00000000-0005-0000-0000-0000A80E0000}"/>
    <cellStyle name="titel" xfId="1632" xr:uid="{00000000-0005-0000-0000-0000A90E0000}"/>
    <cellStyle name="Title Heading" xfId="1633" xr:uid="{00000000-0005-0000-0000-0000AA0E0000}"/>
    <cellStyle name="Title II" xfId="1634" xr:uid="{00000000-0005-0000-0000-0000AB0E0000}"/>
    <cellStyle name="Title1" xfId="1635" xr:uid="{00000000-0005-0000-0000-0000AC0E0000}"/>
    <cellStyle name="Title2" xfId="1636" xr:uid="{00000000-0005-0000-0000-0000AD0E0000}"/>
    <cellStyle name="TitleII" xfId="1637" xr:uid="{00000000-0005-0000-0000-0000AE0E0000}"/>
    <cellStyle name="Titles" xfId="1638" xr:uid="{00000000-0005-0000-0000-0000AF0E0000}"/>
    <cellStyle name="Titles2" xfId="1639" xr:uid="{00000000-0005-0000-0000-0000B00E0000}"/>
    <cellStyle name="TitleYear" xfId="1640" xr:uid="{00000000-0005-0000-0000-0000B10E0000}"/>
    <cellStyle name="titre_col" xfId="1641" xr:uid="{00000000-0005-0000-0000-0000B20E0000}"/>
    <cellStyle name="Titulo-Seccion" xfId="1642" xr:uid="{00000000-0005-0000-0000-0000B30E0000}"/>
    <cellStyle name="tom" xfId="1643" xr:uid="{00000000-0005-0000-0000-0000B40E0000}"/>
    <cellStyle name="Top Edge" xfId="1644" xr:uid="{00000000-0005-0000-0000-0000B50E0000}"/>
    <cellStyle name="TopCaption" xfId="1645" xr:uid="{00000000-0005-0000-0000-0000B60E0000}"/>
    <cellStyle name="Topline" xfId="1646" xr:uid="{00000000-0005-0000-0000-0000B70E0000}"/>
    <cellStyle name="Topline 2" xfId="3697" xr:uid="{00000000-0005-0000-0000-0000B80E0000}"/>
    <cellStyle name="Totals" xfId="1647" xr:uid="{00000000-0005-0000-0000-0000B90E0000}"/>
    <cellStyle name="Totals [0]" xfId="1648" xr:uid="{00000000-0005-0000-0000-0000BA0E0000}"/>
    <cellStyle name="Totals [2]" xfId="1649" xr:uid="{00000000-0005-0000-0000-0000BB0E0000}"/>
    <cellStyle name="Totals_57 Project Fly (2)" xfId="1650" xr:uid="{00000000-0005-0000-0000-0000BC0E0000}"/>
    <cellStyle name="trailing" xfId="1651" xr:uid="{00000000-0005-0000-0000-0000BD0E0000}"/>
    <cellStyle name="ts0" xfId="1652" xr:uid="{00000000-0005-0000-0000-0000BE0E0000}"/>
    <cellStyle name="ts1" xfId="1653" xr:uid="{00000000-0005-0000-0000-0000BF0E0000}"/>
    <cellStyle name="ts2" xfId="1654" xr:uid="{00000000-0005-0000-0000-0000C00E0000}"/>
    <cellStyle name="u" xfId="1655" xr:uid="{00000000-0005-0000-0000-0000C10E0000}"/>
    <cellStyle name="u_MD 1 model_blank_Augustin" xfId="1656" xr:uid="{00000000-0005-0000-0000-0000C20E0000}"/>
    <cellStyle name="ubordinated Debt" xfId="1657" xr:uid="{00000000-0005-0000-0000-0000C30E0000}"/>
    <cellStyle name="Undefiniert" xfId="1658" xr:uid="{00000000-0005-0000-0000-0000C40E0000}"/>
    <cellStyle name="underline" xfId="1659" xr:uid="{00000000-0005-0000-0000-0000C50E0000}"/>
    <cellStyle name="Underscore" xfId="1660" xr:uid="{00000000-0005-0000-0000-0000C60E0000}"/>
    <cellStyle name="Underscore 2" xfId="3698" xr:uid="{00000000-0005-0000-0000-0000C70E0000}"/>
    <cellStyle name="units" xfId="1661" xr:uid="{00000000-0005-0000-0000-0000C80E0000}"/>
    <cellStyle name="Unprot" xfId="1662" xr:uid="{00000000-0005-0000-0000-0000C90E0000}"/>
    <cellStyle name="Unprot$" xfId="1663" xr:uid="{00000000-0005-0000-0000-0000CA0E0000}"/>
    <cellStyle name="Unprotect" xfId="1664" xr:uid="{00000000-0005-0000-0000-0000CB0E0000}"/>
    <cellStyle name="User_Defined_A" xfId="1665" xr:uid="{00000000-0005-0000-0000-0000CC0E0000}"/>
    <cellStyle name="Valuta (0)" xfId="1666" xr:uid="{00000000-0005-0000-0000-0000CD0E0000}"/>
    <cellStyle name="Valuta [0]_DCF Filos" xfId="1667" xr:uid="{00000000-0005-0000-0000-0000CE0E0000}"/>
    <cellStyle name="Valuta_Compkey_95" xfId="1668" xr:uid="{00000000-0005-0000-0000-0000CF0E0000}"/>
    <cellStyle name="VertPC" xfId="1669" xr:uid="{00000000-0005-0000-0000-0000D00E0000}"/>
    <cellStyle name="Währung [0]_Admin" xfId="1670" xr:uid="{00000000-0005-0000-0000-0000D10E0000}"/>
    <cellStyle name="Währung_Admin" xfId="1671" xr:uid="{00000000-0005-0000-0000-0000D20E0000}"/>
    <cellStyle name="White" xfId="1672" xr:uid="{00000000-0005-0000-0000-0000D30E0000}"/>
    <cellStyle name="WholeNumber" xfId="1673" xr:uid="{00000000-0005-0000-0000-0000D40E0000}"/>
    <cellStyle name="WP Header" xfId="1674" xr:uid="{00000000-0005-0000-0000-0000D50E0000}"/>
    <cellStyle name="WrappedBold" xfId="1675" xr:uid="{00000000-0005-0000-0000-0000D60E0000}"/>
    <cellStyle name="x0" xfId="1676" xr:uid="{00000000-0005-0000-0000-0000D70E0000}"/>
    <cellStyle name="x1" xfId="1677" xr:uid="{00000000-0005-0000-0000-0000D80E0000}"/>
    <cellStyle name="x2" xfId="1678" xr:uid="{00000000-0005-0000-0000-0000D90E0000}"/>
    <cellStyle name="year" xfId="1679" xr:uid="{00000000-0005-0000-0000-0000DA0E0000}"/>
    <cellStyle name="Year Estimates" xfId="1680" xr:uid="{00000000-0005-0000-0000-0000DB0E0000}"/>
    <cellStyle name="Year Historicals" xfId="1681" xr:uid="{00000000-0005-0000-0000-0000DC0E0000}"/>
    <cellStyle name="Year_MD 1 model_blank_Augustin" xfId="1682" xr:uid="{00000000-0005-0000-0000-0000DD0E0000}"/>
    <cellStyle name="YearA" xfId="1683" xr:uid="{00000000-0005-0000-0000-0000DE0E0000}"/>
    <cellStyle name="YearE" xfId="1684" xr:uid="{00000000-0005-0000-0000-0000DF0E0000}"/>
    <cellStyle name="Yen" xfId="1685" xr:uid="{00000000-0005-0000-0000-0000E0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EAST.AD.JPMORGANCHASE.COM\HOME\files3\cf$\Corporate%20Finance%20Advice\Teams\M&amp;A\Christopher\Client%20Directory\BOC\Models\Merger%20models\2005\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defaultColWidth="8.85546875" defaultRowHeight="12.75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100" workbookViewId="0"/>
  </sheetViews>
  <sheetFormatPr defaultColWidth="9.140625" defaultRowHeight="12.75"/>
  <cols>
    <col min="1" max="1" width="3" style="1" customWidth="1"/>
    <col min="2" max="4" width="2.85546875" style="1" customWidth="1"/>
    <col min="5" max="5" width="28.42578125" style="1" customWidth="1"/>
    <col min="6" max="8" width="7.140625" style="1" customWidth="1"/>
    <col min="9" max="14" width="9.140625" style="1"/>
    <col min="15" max="15" width="12.85546875" style="1" customWidth="1"/>
    <col min="16" max="16" width="9.140625" style="1"/>
    <col min="17" max="17" width="10" style="1" customWidth="1"/>
    <col min="18" max="18" width="9.140625" style="1"/>
    <col min="19" max="19" width="15.42578125" style="1" bestFit="1" customWidth="1"/>
    <col min="20" max="20" width="8.42578125" style="1" customWidth="1"/>
    <col min="21" max="21" width="3.7109375" style="1" customWidth="1"/>
    <col min="22" max="16384" width="9.140625" style="1"/>
  </cols>
  <sheetData>
    <row r="2" spans="2:23">
      <c r="B2"/>
    </row>
    <row r="9" spans="2:23" ht="19.5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2"/>
    </row>
    <row r="13" spans="2:23">
      <c r="W13"/>
    </row>
    <row r="14" spans="2:23" ht="12.75" customHeight="1">
      <c r="C14" s="15"/>
      <c r="D14" s="341" t="s">
        <v>136</v>
      </c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W14"/>
    </row>
    <row r="15" spans="2:23" ht="12.75" customHeight="1">
      <c r="C15" s="15"/>
      <c r="D15" s="343"/>
      <c r="E15" s="342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W15"/>
    </row>
    <row r="16" spans="2:23" ht="12.75" customHeight="1">
      <c r="C16" s="15"/>
      <c r="D16" s="343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W16"/>
    </row>
    <row r="17" spans="3:23" ht="12.75" customHeight="1">
      <c r="D17" s="343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W17"/>
    </row>
    <row r="18" spans="3:23">
      <c r="W18"/>
    </row>
    <row r="19" spans="3:23" ht="18.75">
      <c r="C19" s="344" t="s">
        <v>20</v>
      </c>
      <c r="E19" s="335">
        <f>Assumptions!D12</f>
        <v>43921</v>
      </c>
      <c r="W19"/>
    </row>
    <row r="20" spans="3:23">
      <c r="C20" s="344"/>
      <c r="W20"/>
    </row>
    <row r="21" spans="3:23">
      <c r="C21" s="344"/>
      <c r="W21"/>
    </row>
    <row r="22" spans="3:23">
      <c r="C22" s="344"/>
      <c r="W22"/>
    </row>
    <row r="23" spans="3:23">
      <c r="C23" s="344"/>
    </row>
    <row r="24" spans="3:23">
      <c r="C24" s="344"/>
    </row>
    <row r="25" spans="3:23">
      <c r="C25" s="344"/>
    </row>
    <row r="26" spans="3:23" ht="12.75" customHeight="1">
      <c r="C26" s="344"/>
    </row>
    <row r="27" spans="3:23">
      <c r="C27" s="344"/>
    </row>
    <row r="28" spans="3:23">
      <c r="C28" s="344"/>
    </row>
    <row r="29" spans="3:23" ht="4.5" customHeight="1">
      <c r="C29" s="344"/>
    </row>
    <row r="30" spans="3:23">
      <c r="C30" s="344"/>
      <c r="Q30" s="165"/>
      <c r="R30" s="166"/>
      <c r="S30" s="166"/>
    </row>
    <row r="31" spans="3:23">
      <c r="C31" s="344"/>
      <c r="Q31" s="166"/>
      <c r="R31" s="166"/>
      <c r="S31" s="166"/>
      <c r="V31" s="45"/>
    </row>
    <row r="32" spans="3:23">
      <c r="C32" s="344"/>
      <c r="Q32" s="166"/>
      <c r="R32" s="166"/>
      <c r="S32" s="166"/>
    </row>
    <row r="33" spans="3:19">
      <c r="C33" s="344"/>
      <c r="Q33" s="167"/>
      <c r="R33" s="166"/>
      <c r="S33" s="166"/>
    </row>
    <row r="34" spans="3:19">
      <c r="C34" s="344"/>
      <c r="Q34" s="167"/>
      <c r="R34" s="166"/>
      <c r="S34" s="166"/>
    </row>
    <row r="35" spans="3:19" ht="4.5" customHeight="1">
      <c r="C35" s="344"/>
      <c r="Q35" s="167"/>
      <c r="R35" s="166"/>
      <c r="S35" s="166"/>
    </row>
    <row r="36" spans="3:19">
      <c r="C36" s="344"/>
      <c r="Q36" s="167"/>
      <c r="R36" s="166"/>
      <c r="S36" s="166"/>
    </row>
    <row r="37" spans="3:19">
      <c r="C37" s="344"/>
      <c r="G37"/>
      <c r="Q37" s="167"/>
      <c r="R37" s="166"/>
      <c r="S37" s="166"/>
    </row>
    <row r="38" spans="3:19">
      <c r="C38" s="344"/>
      <c r="Q38" s="167"/>
      <c r="R38" s="166"/>
      <c r="S38" s="166"/>
    </row>
    <row r="39" spans="3:19">
      <c r="C39" s="344"/>
      <c r="Q39" s="167"/>
      <c r="R39" s="166"/>
      <c r="S39" s="166"/>
    </row>
    <row r="40" spans="3:19">
      <c r="C40" s="344"/>
    </row>
    <row r="41" spans="3:19">
      <c r="C41" s="344"/>
    </row>
    <row r="42" spans="3:19">
      <c r="C42" s="344"/>
    </row>
    <row r="43" spans="3:19">
      <c r="C43" s="344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D12" sqref="D12"/>
    </sheetView>
  </sheetViews>
  <sheetFormatPr defaultColWidth="8.85546875" defaultRowHeight="12.75"/>
  <cols>
    <col min="1" max="1" width="3" customWidth="1"/>
    <col min="2" max="2" width="2.85546875" customWidth="1"/>
    <col min="3" max="3" width="32.42578125" bestFit="1" customWidth="1"/>
    <col min="4" max="4" width="9.7109375" customWidth="1"/>
    <col min="5" max="5" width="9.28515625" customWidth="1"/>
    <col min="6" max="6" width="18.42578125" bestFit="1" customWidth="1"/>
    <col min="8" max="9" width="9.140625" customWidth="1"/>
    <col min="12" max="12" width="2.85546875" customWidth="1"/>
  </cols>
  <sheetData>
    <row r="3" spans="3:11" ht="20.25">
      <c r="C3" s="150" t="s">
        <v>17</v>
      </c>
      <c r="D3" s="151"/>
      <c r="E3" s="151"/>
      <c r="F3" s="151"/>
      <c r="G3" s="151"/>
      <c r="H3" s="151"/>
      <c r="I3" s="151"/>
      <c r="J3" s="151"/>
      <c r="K3" s="151"/>
    </row>
    <row r="4" spans="3:11" ht="4.5" customHeight="1"/>
    <row r="5" spans="3:11">
      <c r="C5" s="47" t="s">
        <v>18</v>
      </c>
      <c r="D5" s="47"/>
      <c r="E5" s="47"/>
      <c r="F5" s="47"/>
      <c r="G5" s="47"/>
      <c r="H5" s="47"/>
      <c r="I5" s="47"/>
      <c r="J5" s="47"/>
      <c r="K5" s="47"/>
    </row>
    <row r="6" spans="3:11" ht="12.75" customHeight="1"/>
    <row r="7" spans="3:11">
      <c r="C7" t="s">
        <v>148</v>
      </c>
      <c r="D7" s="333">
        <v>1</v>
      </c>
    </row>
    <row r="9" spans="3:11">
      <c r="C9" s="47" t="s">
        <v>30</v>
      </c>
      <c r="D9" s="47"/>
      <c r="E9" s="47"/>
      <c r="F9" s="47"/>
      <c r="G9" s="47"/>
      <c r="H9" s="47"/>
      <c r="I9" s="47"/>
      <c r="J9" s="47"/>
      <c r="K9" s="47"/>
    </row>
    <row r="11" spans="3:11">
      <c r="C11" t="s">
        <v>74</v>
      </c>
      <c r="D11" s="127">
        <v>43554</v>
      </c>
    </row>
    <row r="12" spans="3:11">
      <c r="C12" t="s">
        <v>9</v>
      </c>
      <c r="D12" s="127">
        <v>43921</v>
      </c>
    </row>
    <row r="14" spans="3:11">
      <c r="C14" s="48" t="s">
        <v>22</v>
      </c>
      <c r="D14" s="48"/>
      <c r="E14" s="48"/>
      <c r="F14" s="47"/>
      <c r="G14" s="47"/>
      <c r="H14" s="47"/>
      <c r="I14" s="47"/>
      <c r="J14" s="47"/>
      <c r="K14" s="47"/>
    </row>
    <row r="15" spans="3:11">
      <c r="C15" s="5"/>
      <c r="D15" s="5"/>
      <c r="E15" s="2"/>
    </row>
    <row r="16" spans="3:11">
      <c r="C16" s="5" t="s">
        <v>137</v>
      </c>
      <c r="D16" s="334">
        <v>165</v>
      </c>
      <c r="E16" s="23" t="s">
        <v>14</v>
      </c>
    </row>
    <row r="17" spans="3:7">
      <c r="C17" s="41" t="s">
        <v>66</v>
      </c>
      <c r="D17" s="334">
        <v>199</v>
      </c>
    </row>
    <row r="18" spans="3:7">
      <c r="C18" s="5" t="s">
        <v>138</v>
      </c>
      <c r="D18" s="81">
        <f>(D16*D17)/100</f>
        <v>328.35</v>
      </c>
      <c r="E18" s="2"/>
    </row>
    <row r="19" spans="3:7">
      <c r="C19" s="5" t="s">
        <v>139</v>
      </c>
      <c r="D19" s="326">
        <f>-'Company fin forecasts'!B35</f>
        <v>84.616813539584982</v>
      </c>
      <c r="E19" s="2"/>
      <c r="G19" s="46"/>
    </row>
    <row r="20" spans="3:7">
      <c r="C20" s="5" t="s">
        <v>140</v>
      </c>
      <c r="D20" s="128">
        <v>0</v>
      </c>
      <c r="E20" s="2"/>
    </row>
    <row r="21" spans="3:7">
      <c r="C21" s="5" t="s">
        <v>141</v>
      </c>
      <c r="D21" s="128">
        <v>0</v>
      </c>
      <c r="E21" s="2"/>
    </row>
    <row r="22" spans="3:7">
      <c r="C22" s="5" t="s">
        <v>142</v>
      </c>
      <c r="D22" s="128">
        <v>0</v>
      </c>
      <c r="E22" s="33"/>
    </row>
    <row r="23" spans="3:7">
      <c r="C23" s="5"/>
      <c r="D23" s="12"/>
      <c r="E23" s="5"/>
    </row>
    <row r="24" spans="3:7">
      <c r="C24" s="143" t="s">
        <v>154</v>
      </c>
      <c r="D24" s="142">
        <f>D18+D19+D20+D21+D22</f>
        <v>412.96681353958502</v>
      </c>
      <c r="E24" s="5"/>
      <c r="F24" s="132"/>
      <c r="G24" s="132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topLeftCell="A10" zoomScale="85" zoomScaleNormal="85" workbookViewId="0">
      <selection activeCell="I35" sqref="I35"/>
    </sheetView>
  </sheetViews>
  <sheetFormatPr defaultColWidth="9.140625" defaultRowHeight="12.75"/>
  <cols>
    <col min="1" max="1" width="30.7109375" customWidth="1"/>
    <col min="2" max="2" width="9.85546875" customWidth="1"/>
    <col min="3" max="6" width="9.42578125" bestFit="1" customWidth="1"/>
  </cols>
  <sheetData>
    <row r="1" spans="1:12" ht="21">
      <c r="A1" s="304" t="s">
        <v>149</v>
      </c>
    </row>
    <row r="2" spans="1:12" ht="21">
      <c r="A2" s="304"/>
    </row>
    <row r="3" spans="1:12">
      <c r="B3" s="345" t="s">
        <v>150</v>
      </c>
      <c r="C3" s="345"/>
      <c r="D3" s="345"/>
      <c r="E3" s="345"/>
      <c r="F3" s="345"/>
    </row>
    <row r="4" spans="1:12" ht="15">
      <c r="B4" s="305" t="s">
        <v>98</v>
      </c>
      <c r="C4" s="305" t="s">
        <v>99</v>
      </c>
      <c r="D4" s="305" t="s">
        <v>100</v>
      </c>
      <c r="E4" s="305" t="s">
        <v>101</v>
      </c>
      <c r="F4" s="305" t="s">
        <v>102</v>
      </c>
    </row>
    <row r="5" spans="1:12" ht="15">
      <c r="A5" t="s">
        <v>2</v>
      </c>
      <c r="B5" s="316">
        <v>1149.2312142121568</v>
      </c>
      <c r="C5" s="339">
        <v>1100</v>
      </c>
      <c r="D5" s="316">
        <v>1353.8373857301615</v>
      </c>
      <c r="E5" s="316">
        <v>1446.9754795854417</v>
      </c>
      <c r="F5" s="316">
        <v>1442.6203434361955</v>
      </c>
      <c r="L5" s="332"/>
    </row>
    <row r="6" spans="1:12" ht="15">
      <c r="A6" t="s">
        <v>103</v>
      </c>
      <c r="B6" s="306"/>
      <c r="C6" s="307">
        <f>C5/B5-1</f>
        <v>-4.2838389353970663E-2</v>
      </c>
      <c r="D6" s="307">
        <f t="shared" ref="D6:F6" si="0">D5/C5-1</f>
        <v>0.23076125975469219</v>
      </c>
      <c r="E6" s="307">
        <f t="shared" si="0"/>
        <v>6.879562851268739E-2</v>
      </c>
      <c r="F6" s="307">
        <f t="shared" si="0"/>
        <v>-3.0098202842344657E-3</v>
      </c>
    </row>
    <row r="7" spans="1:12" ht="15">
      <c r="A7" t="s">
        <v>147</v>
      </c>
      <c r="B7" s="316">
        <v>583.04965087049129</v>
      </c>
      <c r="C7" s="339">
        <f>C8*C5</f>
        <v>550</v>
      </c>
      <c r="D7" s="316">
        <v>689.15767217994426</v>
      </c>
      <c r="E7" s="316">
        <v>736.80093729452119</v>
      </c>
      <c r="F7" s="316">
        <v>753.12425648235262</v>
      </c>
    </row>
    <row r="8" spans="1:12" ht="15">
      <c r="A8" s="308" t="s">
        <v>104</v>
      </c>
      <c r="B8" s="307">
        <f>B7/B5</f>
        <v>0.50733885719436778</v>
      </c>
      <c r="C8" s="340">
        <v>0.5</v>
      </c>
      <c r="D8" s="307">
        <f t="shared" ref="D8:F8" si="1">D7/D5</f>
        <v>0.50904021372423747</v>
      </c>
      <c r="E8" s="307">
        <f t="shared" si="1"/>
        <v>0.5092007070538711</v>
      </c>
      <c r="F8" s="307">
        <f t="shared" si="1"/>
        <v>0.52205298497903929</v>
      </c>
    </row>
    <row r="9" spans="1:12" ht="15">
      <c r="A9" t="s">
        <v>105</v>
      </c>
      <c r="B9" s="316">
        <v>-522.72817715549786</v>
      </c>
      <c r="C9" s="316">
        <v>-580.01288924996788</v>
      </c>
      <c r="D9" s="316">
        <v>-622.42079355856106</v>
      </c>
      <c r="E9" s="316">
        <v>-662.10013986288277</v>
      </c>
      <c r="F9" s="316">
        <v>-678.11530593625469</v>
      </c>
    </row>
    <row r="10" spans="1:12" ht="15">
      <c r="A10" s="309" t="s">
        <v>106</v>
      </c>
      <c r="B10" s="317">
        <f>SUM(B9,B7)</f>
        <v>60.321473714993431</v>
      </c>
      <c r="C10" s="317">
        <f t="shared" ref="C10:F10" si="2">SUM(C9,C7)</f>
        <v>-30.012889249967884</v>
      </c>
      <c r="D10" s="317">
        <f t="shared" si="2"/>
        <v>66.736878621383198</v>
      </c>
      <c r="E10" s="317">
        <f t="shared" si="2"/>
        <v>74.700797431638421</v>
      </c>
      <c r="F10" s="317">
        <f t="shared" si="2"/>
        <v>75.008950546097935</v>
      </c>
    </row>
    <row r="11" spans="1:12" ht="15">
      <c r="A11" s="308" t="s">
        <v>107</v>
      </c>
      <c r="B11" s="307">
        <f>B10/B5</f>
        <v>5.2488544488713852E-2</v>
      </c>
      <c r="C11" s="307">
        <f t="shared" ref="C11:F11" si="3">C10/C5</f>
        <v>-2.7284444772698077E-2</v>
      </c>
      <c r="D11" s="307">
        <f t="shared" si="3"/>
        <v>4.9294604599347931E-2</v>
      </c>
      <c r="E11" s="307">
        <f t="shared" si="3"/>
        <v>5.162547568051408E-2</v>
      </c>
      <c r="F11" s="307">
        <f t="shared" si="3"/>
        <v>5.1994934694621853E-2</v>
      </c>
    </row>
    <row r="12" spans="1:12" ht="15">
      <c r="A12" t="s">
        <v>108</v>
      </c>
      <c r="B12" s="316">
        <v>-5.4034794520547944</v>
      </c>
      <c r="C12" s="316">
        <v>-6.34</v>
      </c>
      <c r="D12" s="316">
        <v>-6.2353999999999994</v>
      </c>
      <c r="E12" s="316">
        <v>-6.2353999999999994</v>
      </c>
      <c r="F12" s="316">
        <v>-6.3407333333333327</v>
      </c>
    </row>
    <row r="13" spans="1:12" ht="15">
      <c r="A13" s="309" t="s">
        <v>109</v>
      </c>
      <c r="B13" s="317">
        <f>B12+B10</f>
        <v>54.917994262938635</v>
      </c>
      <c r="C13" s="317">
        <f t="shared" ref="C13:F13" si="4">C12+C10</f>
        <v>-36.352889249967888</v>
      </c>
      <c r="D13" s="317">
        <f t="shared" si="4"/>
        <v>60.5014786213832</v>
      </c>
      <c r="E13" s="317">
        <f t="shared" si="4"/>
        <v>68.465397431638422</v>
      </c>
      <c r="F13" s="317">
        <f t="shared" si="4"/>
        <v>68.668217212764603</v>
      </c>
    </row>
    <row r="14" spans="1:12" ht="15">
      <c r="B14" s="306"/>
      <c r="C14" s="306"/>
      <c r="D14" s="306"/>
      <c r="E14" s="306"/>
      <c r="F14" s="306"/>
      <c r="G14" s="161"/>
    </row>
    <row r="15" spans="1:12" ht="15">
      <c r="A15" t="s">
        <v>110</v>
      </c>
      <c r="B15" s="316"/>
      <c r="C15" s="316">
        <v>-18.004468664734777</v>
      </c>
      <c r="D15" s="316">
        <v>-6.7527180429793674</v>
      </c>
      <c r="E15" s="316">
        <v>1.1384540263188825</v>
      </c>
      <c r="F15" s="316">
        <v>-4.8650405710493061</v>
      </c>
    </row>
    <row r="16" spans="1:12" ht="15">
      <c r="A16" s="309" t="s">
        <v>111</v>
      </c>
      <c r="B16" s="317">
        <f>B15+B13</f>
        <v>54.917994262938635</v>
      </c>
      <c r="C16" s="317">
        <f>C15+C13</f>
        <v>-54.357357914702661</v>
      </c>
      <c r="D16" s="317">
        <f>D15+D13</f>
        <v>53.748760578403832</v>
      </c>
      <c r="E16" s="317">
        <f>E15+E13</f>
        <v>69.603851457957305</v>
      </c>
      <c r="F16" s="317">
        <f>F15+F13</f>
        <v>63.803176641715297</v>
      </c>
    </row>
    <row r="17" spans="1:6" ht="15">
      <c r="A17" s="310" t="s">
        <v>112</v>
      </c>
      <c r="B17" s="316">
        <v>3.1</v>
      </c>
      <c r="C17" s="316">
        <v>4.0999999999999996</v>
      </c>
      <c r="D17" s="316">
        <v>4.0999999999999996</v>
      </c>
      <c r="E17" s="316">
        <v>4.0999999999999996</v>
      </c>
      <c r="F17" s="316">
        <v>4.0999999999999996</v>
      </c>
    </row>
    <row r="18" spans="1:6" ht="15">
      <c r="A18" s="310" t="s">
        <v>113</v>
      </c>
      <c r="B18" s="316">
        <v>2.1</v>
      </c>
      <c r="C18" s="316">
        <v>2.0132666666666665</v>
      </c>
      <c r="D18" s="316">
        <v>1.9086666666666665</v>
      </c>
      <c r="E18" s="316">
        <v>1.9086666666666665</v>
      </c>
      <c r="F18" s="316">
        <v>1.9086666666666665</v>
      </c>
    </row>
    <row r="19" spans="1:6" ht="15">
      <c r="A19" s="310" t="s">
        <v>114</v>
      </c>
      <c r="B19" s="316">
        <v>34.029215400000027</v>
      </c>
      <c r="C19" s="316">
        <v>38.442026856682347</v>
      </c>
      <c r="D19" s="316">
        <v>45.286590949142067</v>
      </c>
      <c r="E19" s="316">
        <v>49.920876920897499</v>
      </c>
      <c r="F19" s="316">
        <v>52.891245475492525</v>
      </c>
    </row>
    <row r="20" spans="1:6" ht="15">
      <c r="A20" s="309" t="s">
        <v>115</v>
      </c>
      <c r="B20" s="317">
        <f>SUM(B16:B19)</f>
        <v>94.147209662938664</v>
      </c>
      <c r="C20" s="317">
        <f t="shared" ref="C20:F20" si="5">SUM(C16:C19)</f>
        <v>-9.802064391353646</v>
      </c>
      <c r="D20" s="317">
        <f t="shared" si="5"/>
        <v>105.04401819421257</v>
      </c>
      <c r="E20" s="317">
        <f t="shared" si="5"/>
        <v>125.53339504552146</v>
      </c>
      <c r="F20" s="317">
        <f t="shared" si="5"/>
        <v>122.70308878387448</v>
      </c>
    </row>
    <row r="21" spans="1:6" ht="15">
      <c r="B21" s="316"/>
      <c r="C21" s="316"/>
      <c r="D21" s="306"/>
      <c r="E21" s="306"/>
      <c r="F21" s="306"/>
    </row>
    <row r="22" spans="1:6" ht="15">
      <c r="A22" t="s">
        <v>116</v>
      </c>
      <c r="B22" s="316">
        <v>0</v>
      </c>
      <c r="C22" s="316">
        <v>0</v>
      </c>
      <c r="D22" s="316">
        <v>0</v>
      </c>
      <c r="E22" s="316">
        <v>24</v>
      </c>
      <c r="F22" s="316">
        <v>0</v>
      </c>
    </row>
    <row r="23" spans="1:6" ht="15">
      <c r="A23" t="s">
        <v>7</v>
      </c>
      <c r="B23" s="316">
        <v>-36</v>
      </c>
      <c r="C23" s="316">
        <v>-51</v>
      </c>
      <c r="D23" s="316">
        <v>-50</v>
      </c>
      <c r="E23" s="316">
        <v>-50</v>
      </c>
      <c r="F23" s="316">
        <v>-50</v>
      </c>
    </row>
    <row r="24" spans="1:6" ht="15">
      <c r="A24" t="s">
        <v>117</v>
      </c>
      <c r="B24" s="316">
        <v>-9.1999999999999993</v>
      </c>
      <c r="C24" s="316">
        <v>-9.1999999999999993</v>
      </c>
      <c r="D24" s="316">
        <v>0</v>
      </c>
      <c r="E24" s="316">
        <v>0</v>
      </c>
      <c r="F24" s="316">
        <v>0</v>
      </c>
    </row>
    <row r="25" spans="1:6" ht="15">
      <c r="A25" t="s">
        <v>10</v>
      </c>
      <c r="B25" s="316">
        <v>-18.06402320252365</v>
      </c>
      <c r="C25" s="316">
        <v>-8.693414081730614</v>
      </c>
      <c r="D25" s="316">
        <v>-10.93107815184899</v>
      </c>
      <c r="E25" s="316">
        <v>-12.364583537694871</v>
      </c>
      <c r="F25" s="316">
        <v>-12.420051098297566</v>
      </c>
    </row>
    <row r="26" spans="1:6" ht="15">
      <c r="A26" t="s">
        <v>118</v>
      </c>
      <c r="B26" s="316">
        <v>-3.1</v>
      </c>
      <c r="C26" s="316">
        <v>-4.0999999999999996</v>
      </c>
      <c r="D26" s="316">
        <v>-4.0999999999999996</v>
      </c>
      <c r="E26" s="316">
        <v>-4.0999999999999996</v>
      </c>
      <c r="F26" s="316">
        <v>-4.0999999999999996</v>
      </c>
    </row>
    <row r="27" spans="1:6" ht="15">
      <c r="A27" t="s">
        <v>119</v>
      </c>
      <c r="B27" s="316">
        <v>6</v>
      </c>
      <c r="C27" s="316">
        <v>16.111954440903407</v>
      </c>
      <c r="D27" s="316">
        <v>15.168892666804709</v>
      </c>
      <c r="E27" s="316">
        <v>11.110216900668604</v>
      </c>
      <c r="F27" s="316">
        <v>3.9548595532390358</v>
      </c>
    </row>
    <row r="28" spans="1:6" ht="15">
      <c r="A28" t="s">
        <v>120</v>
      </c>
      <c r="B28" s="316">
        <v>-36.599999999999994</v>
      </c>
      <c r="C28" s="316">
        <v>-24</v>
      </c>
      <c r="D28" s="316">
        <v>-24</v>
      </c>
      <c r="E28" s="316">
        <v>-24</v>
      </c>
      <c r="F28" s="316">
        <v>-24</v>
      </c>
    </row>
    <row r="29" spans="1:6" ht="15">
      <c r="A29" t="s">
        <v>121</v>
      </c>
      <c r="B29" s="316">
        <v>0</v>
      </c>
      <c r="C29" s="316"/>
      <c r="D29" s="316">
        <v>-5</v>
      </c>
      <c r="E29" s="316">
        <v>-5</v>
      </c>
      <c r="F29" s="316">
        <v>-5</v>
      </c>
    </row>
    <row r="30" spans="1:6" ht="15">
      <c r="B30" s="306"/>
      <c r="C30" s="306"/>
      <c r="D30" s="306"/>
      <c r="E30" s="306"/>
      <c r="F30" s="306"/>
    </row>
    <row r="31" spans="1:6" ht="15">
      <c r="A31" t="s">
        <v>122</v>
      </c>
      <c r="B31" s="317">
        <f>SUM(B20:B30)</f>
        <v>-2.8168135395849845</v>
      </c>
      <c r="C31" s="317">
        <f t="shared" ref="C31:F31" si="6">SUM(C20:C30)</f>
        <v>-90.683524032180841</v>
      </c>
      <c r="D31" s="317">
        <f t="shared" si="6"/>
        <v>26.181832709168283</v>
      </c>
      <c r="E31" s="317">
        <f t="shared" si="6"/>
        <v>65.179028408495185</v>
      </c>
      <c r="F31" s="317">
        <f t="shared" si="6"/>
        <v>31.137897238815953</v>
      </c>
    </row>
    <row r="32" spans="1:6" ht="15">
      <c r="A32" s="311" t="s">
        <v>123</v>
      </c>
      <c r="B32" s="317">
        <f>B31-B28-B24</f>
        <v>42.983186460415013</v>
      </c>
      <c r="C32" s="317">
        <f t="shared" ref="C32:F32" si="7">C31-C28-C24</f>
        <v>-57.483524032180839</v>
      </c>
      <c r="D32" s="317">
        <f t="shared" si="7"/>
        <v>50.181832709168283</v>
      </c>
      <c r="E32" s="317">
        <f t="shared" si="7"/>
        <v>89.179028408495185</v>
      </c>
      <c r="F32" s="317">
        <f t="shared" si="7"/>
        <v>55.137897238815953</v>
      </c>
    </row>
    <row r="33" spans="1:6" ht="15">
      <c r="B33" s="306"/>
      <c r="C33" s="306"/>
      <c r="D33" s="306"/>
      <c r="E33" s="306"/>
      <c r="F33" s="306"/>
    </row>
    <row r="34" spans="1:6" ht="15">
      <c r="A34" t="s">
        <v>124</v>
      </c>
      <c r="B34" s="316">
        <v>-81.8</v>
      </c>
      <c r="C34" s="316">
        <f>B35</f>
        <v>-84.616813539584982</v>
      </c>
      <c r="D34" s="316">
        <f t="shared" ref="D34:F34" si="8">C35</f>
        <v>-175.30033757176582</v>
      </c>
      <c r="E34" s="316">
        <f t="shared" si="8"/>
        <v>-149.11850486259755</v>
      </c>
      <c r="F34" s="316">
        <f t="shared" si="8"/>
        <v>-83.939476454102362</v>
      </c>
    </row>
    <row r="35" spans="1:6" ht="15">
      <c r="A35" t="s">
        <v>125</v>
      </c>
      <c r="B35" s="316">
        <f>B34+B31</f>
        <v>-84.616813539584982</v>
      </c>
      <c r="C35" s="316">
        <f t="shared" ref="C35:F35" si="9">C34+C31</f>
        <v>-175.30033757176582</v>
      </c>
      <c r="D35" s="316">
        <f t="shared" si="9"/>
        <v>-149.11850486259755</v>
      </c>
      <c r="E35" s="316">
        <f t="shared" si="9"/>
        <v>-83.939476454102362</v>
      </c>
      <c r="F35" s="316">
        <f t="shared" si="9"/>
        <v>-52.801579215286409</v>
      </c>
    </row>
    <row r="36" spans="1:6" ht="15">
      <c r="A36" s="309" t="s">
        <v>126</v>
      </c>
      <c r="B36" s="318">
        <f>-B35/(B20-B15)</f>
        <v>0.89877133738244663</v>
      </c>
      <c r="C36" s="318">
        <f t="shared" ref="C36:F36" si="10">-C35/(C20-C15)</f>
        <v>21.371823642082553</v>
      </c>
      <c r="D36" s="318">
        <f t="shared" si="10"/>
        <v>1.3338359408473466</v>
      </c>
      <c r="E36" s="318">
        <f t="shared" si="10"/>
        <v>0.67478207527060774</v>
      </c>
      <c r="F36" s="318">
        <f t="shared" si="10"/>
        <v>0.4139088617375607</v>
      </c>
    </row>
    <row r="37" spans="1:6" ht="15">
      <c r="B37" s="306"/>
      <c r="C37" s="306"/>
      <c r="D37" s="306"/>
      <c r="E37" s="306"/>
      <c r="F37" s="306"/>
    </row>
    <row r="38" spans="1:6" ht="15">
      <c r="B38" s="316"/>
      <c r="C38" s="316"/>
      <c r="D38" s="316"/>
      <c r="E38" s="316"/>
      <c r="F38" s="316"/>
    </row>
    <row r="39" spans="1:6" ht="15">
      <c r="B39" s="316"/>
      <c r="C39" s="316"/>
      <c r="D39" s="316"/>
      <c r="E39" s="316"/>
      <c r="F39" s="316"/>
    </row>
    <row r="40" spans="1:6" ht="15">
      <c r="B40" s="316"/>
      <c r="C40" s="316"/>
      <c r="D40" s="316"/>
      <c r="E40" s="316"/>
      <c r="F40" s="316"/>
    </row>
    <row r="41" spans="1:6" ht="15">
      <c r="B41" s="316"/>
      <c r="C41" s="316"/>
      <c r="D41" s="316"/>
      <c r="E41" s="316"/>
      <c r="F41" s="316"/>
    </row>
    <row r="42" spans="1:6" ht="15">
      <c r="B42" s="316"/>
      <c r="C42" s="316"/>
      <c r="D42" s="316"/>
      <c r="E42" s="316"/>
      <c r="F42" s="316"/>
    </row>
    <row r="43" spans="1:6" ht="15">
      <c r="B43" s="316"/>
      <c r="C43" s="316"/>
      <c r="D43" s="316"/>
      <c r="E43" s="316"/>
      <c r="F43" s="316"/>
    </row>
    <row r="44" spans="1:6" ht="15">
      <c r="B44" s="316"/>
      <c r="C44" s="316"/>
      <c r="D44" s="316"/>
      <c r="E44" s="316"/>
      <c r="F44" s="316"/>
    </row>
    <row r="45" spans="1:6" ht="15">
      <c r="B45" s="316"/>
      <c r="C45" s="316"/>
      <c r="D45" s="316"/>
      <c r="E45" s="316"/>
      <c r="F45" s="316"/>
    </row>
    <row r="46" spans="1:6" ht="15">
      <c r="B46" s="316"/>
      <c r="C46" s="316"/>
      <c r="D46" s="316"/>
      <c r="E46" s="316"/>
      <c r="F46" s="316"/>
    </row>
    <row r="47" spans="1:6" ht="15">
      <c r="B47" s="316"/>
      <c r="C47" s="316"/>
      <c r="D47" s="316"/>
      <c r="E47" s="316"/>
      <c r="F47" s="316"/>
    </row>
    <row r="48" spans="1:6" ht="15">
      <c r="B48" s="316"/>
      <c r="C48" s="316"/>
      <c r="D48" s="316"/>
      <c r="E48" s="316"/>
      <c r="F48" s="316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X92"/>
  <sheetViews>
    <sheetView showGridLines="0" topLeftCell="G50" zoomScale="85" zoomScaleNormal="85" zoomScaleSheetLayoutView="85" workbookViewId="0">
      <selection activeCell="V81" sqref="V81"/>
    </sheetView>
  </sheetViews>
  <sheetFormatPr defaultColWidth="9.140625" defaultRowHeight="12.75" outlineLevelRow="1"/>
  <cols>
    <col min="1" max="1" width="3" style="7" customWidth="1"/>
    <col min="2" max="2" width="2.85546875" style="7" customWidth="1"/>
    <col min="3" max="3" width="27.7109375" style="7" customWidth="1"/>
    <col min="4" max="5" width="3.42578125" style="7" customWidth="1"/>
    <col min="6" max="22" width="12.7109375" style="7" customWidth="1"/>
    <col min="23" max="23" width="3.42578125" style="7" customWidth="1"/>
    <col min="24" max="16384" width="9.140625" style="7"/>
  </cols>
  <sheetData>
    <row r="2" spans="2:22" ht="12" customHeight="1">
      <c r="B2" s="46"/>
      <c r="E2" s="31"/>
      <c r="O2" s="35"/>
      <c r="R2" s="36"/>
    </row>
    <row r="3" spans="2:22" ht="12" customHeight="1">
      <c r="B3" s="46"/>
      <c r="E3" s="31"/>
      <c r="O3" s="35"/>
      <c r="R3" s="36"/>
    </row>
    <row r="4" spans="2:22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22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22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22">
      <c r="B7" s="5"/>
      <c r="D7" s="23"/>
      <c r="F7" s="312" t="s">
        <v>76</v>
      </c>
      <c r="G7" s="312"/>
      <c r="H7" s="312"/>
      <c r="I7" s="312"/>
      <c r="J7" s="312"/>
      <c r="K7" s="312"/>
      <c r="L7" s="313" t="s">
        <v>127</v>
      </c>
      <c r="M7" s="313"/>
      <c r="N7" s="313"/>
      <c r="O7" s="313"/>
      <c r="P7" s="313"/>
      <c r="Q7" s="314" t="s">
        <v>79</v>
      </c>
      <c r="R7" s="314"/>
      <c r="S7" s="314"/>
      <c r="T7" s="314"/>
      <c r="U7" s="314"/>
      <c r="V7" s="314"/>
    </row>
    <row r="8" spans="2:22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21"/>
      <c r="N8" s="11"/>
      <c r="O8" s="5"/>
      <c r="P8" s="5"/>
      <c r="Q8" s="5"/>
      <c r="R8" s="5"/>
      <c r="S8" s="5"/>
    </row>
    <row r="9" spans="2:22" ht="12.75" customHeight="1">
      <c r="B9" s="5"/>
      <c r="C9" s="37" t="str">
        <f>TEXT(Assumptions!$D$11,"mmmm")&amp;" YE ($mm)"</f>
        <v>March YE ($mm)</v>
      </c>
      <c r="D9" s="37"/>
      <c r="E9" s="44"/>
      <c r="F9" s="148">
        <v>41729</v>
      </c>
      <c r="G9" s="148">
        <f>+EDATE(F9,12)</f>
        <v>42094</v>
      </c>
      <c r="H9" s="148">
        <f t="shared" ref="H9:V9" si="0">+EDATE(G9,12)</f>
        <v>42460</v>
      </c>
      <c r="I9" s="148">
        <f t="shared" si="0"/>
        <v>42825</v>
      </c>
      <c r="J9" s="148">
        <f t="shared" si="0"/>
        <v>43190</v>
      </c>
      <c r="K9" s="148">
        <f t="shared" si="0"/>
        <v>43555</v>
      </c>
      <c r="L9" s="38">
        <f t="shared" si="0"/>
        <v>43921</v>
      </c>
      <c r="M9" s="38">
        <f t="shared" si="0"/>
        <v>44286</v>
      </c>
      <c r="N9" s="38">
        <f t="shared" si="0"/>
        <v>44651</v>
      </c>
      <c r="O9" s="38">
        <f t="shared" si="0"/>
        <v>45016</v>
      </c>
      <c r="P9" s="38">
        <f t="shared" si="0"/>
        <v>45382</v>
      </c>
      <c r="Q9" s="38">
        <f t="shared" si="0"/>
        <v>45747</v>
      </c>
      <c r="R9" s="38">
        <f t="shared" si="0"/>
        <v>46112</v>
      </c>
      <c r="S9" s="38">
        <f t="shared" si="0"/>
        <v>46477</v>
      </c>
      <c r="T9" s="38">
        <f t="shared" si="0"/>
        <v>46843</v>
      </c>
      <c r="U9" s="38">
        <f t="shared" si="0"/>
        <v>47208</v>
      </c>
      <c r="V9" s="38">
        <f t="shared" si="0"/>
        <v>47573</v>
      </c>
    </row>
    <row r="10" spans="2:22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21"/>
      <c r="Q10" s="5"/>
      <c r="R10" s="5"/>
      <c r="S10" s="5"/>
      <c r="U10" s="5"/>
      <c r="V10" s="5"/>
    </row>
    <row r="11" spans="2:22">
      <c r="B11" s="5"/>
      <c r="C11" s="34" t="s">
        <v>23</v>
      </c>
      <c r="D11" s="34"/>
      <c r="E11" s="34"/>
      <c r="F11" s="110">
        <v>939.7</v>
      </c>
      <c r="G11" s="110">
        <v>1004.9</v>
      </c>
      <c r="H11" s="110">
        <v>1021.5</v>
      </c>
      <c r="I11" s="110">
        <v>1095</v>
      </c>
      <c r="J11" s="110">
        <v>1135.0999999999999</v>
      </c>
      <c r="K11" s="110">
        <v>1138.5999999999999</v>
      </c>
      <c r="L11" s="106">
        <f>K11*(1+L13)</f>
        <v>1149.2312142121568</v>
      </c>
      <c r="M11" s="106">
        <f>1100</f>
        <v>1100</v>
      </c>
      <c r="N11" s="106">
        <f t="shared" ref="M11:V11" si="1">M11*(1+N13)</f>
        <v>1353.8373857301615</v>
      </c>
      <c r="O11" s="106">
        <f t="shared" si="1"/>
        <v>1446.9754795854415</v>
      </c>
      <c r="P11" s="106">
        <f t="shared" si="1"/>
        <v>1442.6203434361953</v>
      </c>
      <c r="Q11" s="106">
        <f t="shared" si="1"/>
        <v>1471.4727503049191</v>
      </c>
      <c r="R11" s="106">
        <f t="shared" ca="1" si="1"/>
        <v>1497.9592598104077</v>
      </c>
      <c r="S11" s="106">
        <f t="shared" ca="1" si="1"/>
        <v>1521.9266079673744</v>
      </c>
      <c r="T11" s="106">
        <f t="shared" ca="1" si="1"/>
        <v>1543.2335804789177</v>
      </c>
      <c r="U11" s="106">
        <f t="shared" ca="1" si="1"/>
        <v>1561.7523834446647</v>
      </c>
      <c r="V11" s="106">
        <f t="shared" ca="1" si="1"/>
        <v>1577.3699072791114</v>
      </c>
    </row>
    <row r="12" spans="2:22" outlineLevel="1">
      <c r="B12" s="5"/>
      <c r="C12" s="112" t="s">
        <v>129</v>
      </c>
      <c r="D12" s="112"/>
      <c r="E12" s="112"/>
      <c r="F12" s="156"/>
      <c r="G12" s="156"/>
      <c r="H12" s="156"/>
      <c r="I12" s="156"/>
      <c r="J12" s="156"/>
      <c r="K12" s="156"/>
      <c r="L12" s="136">
        <f>+'Company fin forecasts'!B5</f>
        <v>1149.2312142121568</v>
      </c>
      <c r="M12" s="136">
        <f>+'Company fin forecasts'!C5</f>
        <v>1100</v>
      </c>
      <c r="N12" s="136">
        <f>+'Company fin forecasts'!D5</f>
        <v>1353.8373857301615</v>
      </c>
      <c r="O12" s="136">
        <f>+'Company fin forecasts'!E5</f>
        <v>1446.9754795854417</v>
      </c>
      <c r="P12" s="136">
        <f>+'Company fin forecasts'!F5</f>
        <v>1442.6203434361955</v>
      </c>
      <c r="Q12" s="41"/>
      <c r="R12" s="41"/>
      <c r="S12" s="41"/>
      <c r="T12" s="41"/>
      <c r="U12" s="41"/>
      <c r="V12" s="41"/>
    </row>
    <row r="13" spans="2:22">
      <c r="B13" s="14"/>
      <c r="C13" s="14" t="s">
        <v>77</v>
      </c>
      <c r="D13" s="14"/>
      <c r="E13" s="6"/>
      <c r="L13" s="124">
        <f>IF(ISERROR(L12/K11-1),"n.a.",L12/K11-1)</f>
        <v>9.3370931074625574E-3</v>
      </c>
      <c r="M13" s="124">
        <f>IF(ISERROR(M12/L12-1),"n.a.",M12/L12-1)</f>
        <v>-4.2838389353970663E-2</v>
      </c>
      <c r="N13" s="124">
        <f>IF(ISERROR(N12/M12-1),"n.a.",N12/M12-1)</f>
        <v>0.23076125975469219</v>
      </c>
      <c r="O13" s="124">
        <f>IF(ISERROR(O12/N12-1),"n.a.",O12/N12-1)</f>
        <v>6.879562851268739E-2</v>
      </c>
      <c r="P13" s="124">
        <f>IF(ISERROR(P12/O12-1),"n.a.",P12/O12-1)</f>
        <v>-3.0098202842344657E-3</v>
      </c>
      <c r="Q13" s="125">
        <v>0.02</v>
      </c>
      <c r="R13" s="126">
        <f t="shared" ref="R13:U13" ca="1" si="2">+AVERAGE(Q13,S13)</f>
        <v>1.8000000000000002E-2</v>
      </c>
      <c r="S13" s="126">
        <f t="shared" ca="1" si="2"/>
        <v>1.6E-2</v>
      </c>
      <c r="T13" s="126">
        <f t="shared" ca="1" si="2"/>
        <v>1.4E-2</v>
      </c>
      <c r="U13" s="126">
        <f t="shared" ca="1" si="2"/>
        <v>1.2E-2</v>
      </c>
      <c r="V13" s="125">
        <v>0.01</v>
      </c>
    </row>
    <row r="14" spans="2:22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2">
      <c r="B15" s="5"/>
      <c r="C15" s="34" t="s">
        <v>3</v>
      </c>
      <c r="D15" s="34"/>
      <c r="E15" s="34"/>
      <c r="F15" s="110">
        <v>101.1</v>
      </c>
      <c r="G15" s="110">
        <v>109.9</v>
      </c>
      <c r="H15" s="110">
        <v>114.6</v>
      </c>
      <c r="I15" s="110">
        <v>108.7</v>
      </c>
      <c r="J15" s="110">
        <v>109.5</v>
      </c>
      <c r="K15" s="110">
        <v>98.2</v>
      </c>
      <c r="L15" s="106">
        <f>L11*L18</f>
        <v>94.147209662938664</v>
      </c>
      <c r="M15" s="106">
        <f t="shared" ref="M15:V15" si="3">M11*M18</f>
        <v>8.2024042733811307</v>
      </c>
      <c r="N15" s="106">
        <f t="shared" si="3"/>
        <v>111.79673623719195</v>
      </c>
      <c r="O15" s="106">
        <f t="shared" si="3"/>
        <v>124.39494101920255</v>
      </c>
      <c r="P15" s="106">
        <f t="shared" si="3"/>
        <v>127.56812935492377</v>
      </c>
      <c r="Q15" s="106">
        <f t="shared" ca="1" si="3"/>
        <v>130.50500120625895</v>
      </c>
      <c r="R15" s="106">
        <f t="shared" ca="1" si="3"/>
        <v>133.24653965896459</v>
      </c>
      <c r="S15" s="106">
        <f t="shared" ca="1" si="3"/>
        <v>135.77721189939695</v>
      </c>
      <c r="T15" s="106">
        <f t="shared" ca="1" si="3"/>
        <v>138.08240265835985</v>
      </c>
      <c r="U15" s="106">
        <f t="shared" ca="1" si="3"/>
        <v>140.14855300014</v>
      </c>
      <c r="V15" s="106">
        <f t="shared" ca="1" si="3"/>
        <v>141.96329165512003</v>
      </c>
    </row>
    <row r="16" spans="2:22" ht="12.75" customHeight="1" outlineLevel="1">
      <c r="B16" s="5"/>
      <c r="C16" s="112" t="str">
        <f>+$C$12</f>
        <v>Management case</v>
      </c>
      <c r="D16" s="112"/>
      <c r="E16" s="112"/>
      <c r="F16" s="41"/>
      <c r="G16" s="41"/>
      <c r="H16" s="41"/>
      <c r="I16" s="41"/>
      <c r="J16" s="41"/>
      <c r="K16" s="41"/>
      <c r="L16" s="136">
        <f>+('Company fin forecasts'!B20-'Company fin forecasts'!B15)</f>
        <v>94.147209662938664</v>
      </c>
      <c r="M16" s="136">
        <f>+('Company fin forecasts'!C20-'Company fin forecasts'!C15)</f>
        <v>8.2024042733811307</v>
      </c>
      <c r="N16" s="136">
        <f>+('Company fin forecasts'!D20-'Company fin forecasts'!D15)</f>
        <v>111.79673623719194</v>
      </c>
      <c r="O16" s="136">
        <f>+('Company fin forecasts'!E20-'Company fin forecasts'!E15)</f>
        <v>124.39494101920258</v>
      </c>
      <c r="P16" s="136">
        <f>+('Company fin forecasts'!F20-'Company fin forecasts'!F15)</f>
        <v>127.56812935492378</v>
      </c>
      <c r="Q16" s="41"/>
      <c r="R16" s="41"/>
      <c r="S16" s="41"/>
      <c r="T16" s="41"/>
      <c r="U16" s="41"/>
      <c r="V16" s="41"/>
    </row>
    <row r="17" spans="2:24">
      <c r="B17" s="5"/>
      <c r="C17" s="14" t="s">
        <v>0</v>
      </c>
      <c r="D17" s="14"/>
      <c r="E17" s="6"/>
      <c r="F17" s="124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4">IF(ISERROR(H15/G15-1),"n.a.",H15/G15-1)</f>
        <v>4.2766151046405687E-2</v>
      </c>
      <c r="I17" s="6">
        <f t="shared" si="4"/>
        <v>-5.148342059336819E-2</v>
      </c>
      <c r="J17" s="6">
        <f t="shared" si="4"/>
        <v>7.3597056117755688E-3</v>
      </c>
      <c r="K17" s="6">
        <f t="shared" si="4"/>
        <v>-0.10319634703196345</v>
      </c>
      <c r="L17" s="6">
        <f>IF(ISERROR(L15/K15-1),"n.a.",L15/K15-1)</f>
        <v>-4.1270777363150102E-2</v>
      </c>
      <c r="M17" s="6">
        <f t="shared" ref="M17:V17" si="5">IF(ISERROR(M15/L15-1),"n.a.",M15/L15-1)</f>
        <v>-0.9128768202186025</v>
      </c>
      <c r="N17" s="6">
        <f t="shared" si="5"/>
        <v>12.629752022830738</v>
      </c>
      <c r="O17" s="6">
        <f t="shared" si="5"/>
        <v>0.1126884845303695</v>
      </c>
      <c r="P17" s="6">
        <f t="shared" si="5"/>
        <v>2.5508982195918906E-2</v>
      </c>
      <c r="Q17" s="6">
        <f t="shared" ca="1" si="5"/>
        <v>2.302198727994309E-2</v>
      </c>
      <c r="R17" s="6">
        <f t="shared" ca="1" si="5"/>
        <v>2.1007152426079978E-2</v>
      </c>
      <c r="S17" s="6">
        <f t="shared" ca="1" si="5"/>
        <v>1.8992404957828057E-2</v>
      </c>
      <c r="T17" s="6">
        <f t="shared" ca="1" si="5"/>
        <v>1.6977744105328485E-2</v>
      </c>
      <c r="U17" s="6">
        <f t="shared" ca="1" si="5"/>
        <v>1.4963169107740315E-2</v>
      </c>
      <c r="V17" s="6">
        <f t="shared" ca="1" si="5"/>
        <v>1.2948679213107717E-2</v>
      </c>
    </row>
    <row r="18" spans="2:24">
      <c r="B18" s="5"/>
      <c r="C18" s="14" t="s">
        <v>78</v>
      </c>
      <c r="D18" s="14"/>
      <c r="E18" s="6"/>
      <c r="L18" s="124">
        <f>IF(ISERROR(L16/L$12),"n.a.",L16/L$12)</f>
        <v>8.1921904398916168E-2</v>
      </c>
      <c r="M18" s="124">
        <f>IF(ISERROR(M16/M$12),"n.a.",M16/M$12)</f>
        <v>7.4567311576192096E-3</v>
      </c>
      <c r="N18" s="124">
        <f>IF(ISERROR(N16/N$12),"n.a.",N16/N$12)</f>
        <v>8.2577669530744205E-2</v>
      </c>
      <c r="O18" s="124">
        <f>IF(ISERROR(O16/O$12),"n.a.",O16/O$12)</f>
        <v>8.5968935047082973E-2</v>
      </c>
      <c r="P18" s="164">
        <f>IF(ISERROR(P16/P$12),"n.a.",P16/P$12)</f>
        <v>8.8428067672377098E-2</v>
      </c>
      <c r="Q18" s="252">
        <f t="shared" ref="Q18:U18" ca="1" si="6">+AVERAGE(P18,R18)</f>
        <v>8.8690056393647562E-2</v>
      </c>
      <c r="R18" s="252">
        <f t="shared" ca="1" si="6"/>
        <v>8.8952045114918027E-2</v>
      </c>
      <c r="S18" s="252">
        <f t="shared" ca="1" si="6"/>
        <v>8.9214033836188505E-2</v>
      </c>
      <c r="T18" s="252">
        <f t="shared" ca="1" si="6"/>
        <v>8.9476022557458998E-2</v>
      </c>
      <c r="U18" s="252">
        <f t="shared" ca="1" si="6"/>
        <v>8.973801127872949E-2</v>
      </c>
      <c r="V18" s="155">
        <v>0.09</v>
      </c>
    </row>
    <row r="19" spans="2:2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4">
      <c r="B20" s="14"/>
      <c r="C20" s="34" t="s">
        <v>25</v>
      </c>
      <c r="D20" s="34"/>
      <c r="E20" s="34"/>
      <c r="F20" s="34">
        <f t="shared" ref="F20:K20" si="7">-F15+F25</f>
        <v>-23.299999999999997</v>
      </c>
      <c r="G20" s="34">
        <f t="shared" si="7"/>
        <v>-25.300000000000011</v>
      </c>
      <c r="H20" s="34">
        <f t="shared" si="7"/>
        <v>-30.099999999999994</v>
      </c>
      <c r="I20" s="34">
        <f t="shared" si="7"/>
        <v>-31.600000000000009</v>
      </c>
      <c r="J20" s="34">
        <f t="shared" si="7"/>
        <v>-34.900000000000006</v>
      </c>
      <c r="K20" s="34">
        <f t="shared" si="7"/>
        <v>-36</v>
      </c>
      <c r="L20" s="113">
        <f>+(('Company fin forecasts'!B18+'Company fin forecasts'!B19))*-1</f>
        <v>-36.129215400000028</v>
      </c>
      <c r="M20" s="113">
        <f>+(('Company fin forecasts'!C18+'Company fin forecasts'!C19))*-1</f>
        <v>-40.455293523349013</v>
      </c>
      <c r="N20" s="113">
        <f>+(('Company fin forecasts'!D18+'Company fin forecasts'!D19))*-1</f>
        <v>-47.195257615808735</v>
      </c>
      <c r="O20" s="113">
        <f>+(('Company fin forecasts'!E18+'Company fin forecasts'!E19))*-1</f>
        <v>-51.829543587564167</v>
      </c>
      <c r="P20" s="113">
        <f>+(('Company fin forecasts'!F18+'Company fin forecasts'!F19))*-1</f>
        <v>-54.799912142159194</v>
      </c>
      <c r="Q20" s="106">
        <f t="shared" ref="Q20:V20" ca="1" si="8">Q22*Q40</f>
        <v>-53.583260118465994</v>
      </c>
      <c r="R20" s="106">
        <f t="shared" ca="1" si="8"/>
        <v>-52.366608094772801</v>
      </c>
      <c r="S20" s="106">
        <f t="shared" ca="1" si="8"/>
        <v>-51.149956071079608</v>
      </c>
      <c r="T20" s="106">
        <f t="shared" ca="1" si="8"/>
        <v>-49.933304047386407</v>
      </c>
      <c r="U20" s="106">
        <f t="shared" ca="1" si="8"/>
        <v>-48.7166520236932</v>
      </c>
      <c r="V20" s="106">
        <f t="shared" si="8"/>
        <v>-47.5</v>
      </c>
    </row>
    <row r="21" spans="2:24">
      <c r="B21" s="14"/>
      <c r="C21" s="14" t="s">
        <v>0</v>
      </c>
      <c r="D21" s="14"/>
      <c r="E21" s="6"/>
      <c r="F21" s="6" t="str">
        <f t="shared" ref="F21:V21" si="9">IF(ISERROR(F20/E20-1),"n.a.",F20/E20-1)</f>
        <v>n.a.</v>
      </c>
      <c r="G21" s="6">
        <f t="shared" si="9"/>
        <v>8.5836909871245259E-2</v>
      </c>
      <c r="H21" s="6">
        <f t="shared" si="9"/>
        <v>0.18972332015810212</v>
      </c>
      <c r="I21" s="6">
        <f t="shared" si="9"/>
        <v>4.9833887043189806E-2</v>
      </c>
      <c r="J21" s="6">
        <f t="shared" si="9"/>
        <v>0.10443037974683533</v>
      </c>
      <c r="K21" s="6">
        <f t="shared" si="9"/>
        <v>3.1518624641833748E-2</v>
      </c>
      <c r="L21" s="6">
        <f t="shared" si="9"/>
        <v>3.589316666667397E-3</v>
      </c>
      <c r="M21" s="6">
        <f t="shared" si="9"/>
        <v>0.11973905537259411</v>
      </c>
      <c r="N21" s="6">
        <f t="shared" si="9"/>
        <v>0.16660277322100536</v>
      </c>
      <c r="O21" s="6">
        <f t="shared" si="9"/>
        <v>9.8193890782007465E-2</v>
      </c>
      <c r="P21" s="6">
        <f t="shared" si="9"/>
        <v>5.7310335939514845E-2</v>
      </c>
      <c r="Q21" s="6">
        <f t="shared" ca="1" si="9"/>
        <v>-2.2201714859268806E-2</v>
      </c>
      <c r="R21" s="6">
        <f t="shared" ca="1" si="9"/>
        <v>-2.2705823068684627E-2</v>
      </c>
      <c r="S21" s="6">
        <f t="shared" ca="1" si="9"/>
        <v>-2.3233355528609057E-2</v>
      </c>
      <c r="T21" s="6">
        <f t="shared" ca="1" si="9"/>
        <v>-2.3785983745567729E-2</v>
      </c>
      <c r="U21" s="6">
        <f t="shared" ca="1" si="9"/>
        <v>-2.4365542134736629E-2</v>
      </c>
      <c r="V21" s="6">
        <f t="shared" ca="1" si="9"/>
        <v>-2.4974048362385148E-2</v>
      </c>
    </row>
    <row r="22" spans="2:24">
      <c r="B22" s="14"/>
      <c r="C22" s="14" t="s">
        <v>8</v>
      </c>
      <c r="D22" s="14"/>
      <c r="E22" s="6"/>
      <c r="F22" s="124">
        <f t="shared" ref="F22:P22" si="10">IF(ISERROR(F20/F$40),"n.a.",F20/F$40)</f>
        <v>0.76644736842105254</v>
      </c>
      <c r="G22" s="124">
        <f t="shared" si="10"/>
        <v>0.67466666666666697</v>
      </c>
      <c r="H22" s="124">
        <f t="shared" si="10"/>
        <v>0.74689826302729523</v>
      </c>
      <c r="I22" s="124">
        <f t="shared" si="10"/>
        <v>0.87534626038781183</v>
      </c>
      <c r="J22" s="124">
        <f t="shared" si="10"/>
        <v>0.93565683646112618</v>
      </c>
      <c r="K22" s="124">
        <f t="shared" si="10"/>
        <v>1.1612903225806452</v>
      </c>
      <c r="L22" s="124">
        <f t="shared" si="10"/>
        <v>1.0035893166666674</v>
      </c>
      <c r="M22" s="124">
        <f t="shared" si="10"/>
        <v>0.79324104947743168</v>
      </c>
      <c r="N22" s="124">
        <f t="shared" si="10"/>
        <v>0.94390515231617467</v>
      </c>
      <c r="O22" s="124">
        <f t="shared" si="10"/>
        <v>1.0365908717512833</v>
      </c>
      <c r="P22" s="124">
        <f t="shared" si="10"/>
        <v>1.0959982428431838</v>
      </c>
      <c r="Q22" s="154">
        <f t="shared" ref="Q22:U22" ca="1" si="11">+AVERAGE(P22,R22)</f>
        <v>1.0716652023693198</v>
      </c>
      <c r="R22" s="154">
        <f t="shared" ca="1" si="11"/>
        <v>1.0473321618954561</v>
      </c>
      <c r="S22" s="154">
        <f t="shared" ca="1" si="11"/>
        <v>1.0229991214215921</v>
      </c>
      <c r="T22" s="154">
        <f t="shared" ca="1" si="11"/>
        <v>0.99866608094772813</v>
      </c>
      <c r="U22" s="154">
        <f t="shared" ca="1" si="11"/>
        <v>0.97433304047386404</v>
      </c>
      <c r="V22" s="155">
        <v>0.95</v>
      </c>
      <c r="X22" s="221"/>
    </row>
    <row r="23" spans="2:24">
      <c r="B23" s="14"/>
      <c r="C23" s="14" t="s">
        <v>1</v>
      </c>
      <c r="D23" s="14"/>
      <c r="E23" s="6"/>
      <c r="F23" s="124">
        <f t="shared" ref="F23:V23" si="12">F20/F11*-1</f>
        <v>2.4795147387464082E-2</v>
      </c>
      <c r="G23" s="124">
        <f t="shared" si="12"/>
        <v>2.5176634490994141E-2</v>
      </c>
      <c r="H23" s="124">
        <f t="shared" si="12"/>
        <v>2.9466470876162502E-2</v>
      </c>
      <c r="I23" s="124">
        <f t="shared" si="12"/>
        <v>2.8858447488584484E-2</v>
      </c>
      <c r="J23" s="124">
        <f t="shared" si="12"/>
        <v>3.0746189763016483E-2</v>
      </c>
      <c r="K23" s="124">
        <f t="shared" si="12"/>
        <v>3.1617776216406115E-2</v>
      </c>
      <c r="L23" s="124">
        <f t="shared" si="12"/>
        <v>3.1437725457855774E-2</v>
      </c>
      <c r="M23" s="124">
        <f t="shared" si="12"/>
        <v>3.6777539566680922E-2</v>
      </c>
      <c r="N23" s="124">
        <f t="shared" si="12"/>
        <v>3.4860359237571983E-2</v>
      </c>
      <c r="O23" s="124">
        <f t="shared" si="12"/>
        <v>3.581922729085453E-2</v>
      </c>
      <c r="P23" s="124">
        <f t="shared" si="12"/>
        <v>3.7986371391124714E-2</v>
      </c>
      <c r="Q23" s="124">
        <f t="shared" ca="1" si="12"/>
        <v>3.641471451466733E-2</v>
      </c>
      <c r="R23" s="124">
        <f t="shared" ca="1" si="12"/>
        <v>3.4958633054813976E-2</v>
      </c>
      <c r="S23" s="124">
        <f t="shared" ca="1" si="12"/>
        <v>3.3608687701040647E-2</v>
      </c>
      <c r="T23" s="124">
        <f t="shared" ca="1" si="12"/>
        <v>3.2356284025319364E-2</v>
      </c>
      <c r="U23" s="124">
        <f t="shared" ca="1" si="12"/>
        <v>3.1193582631993021E-2</v>
      </c>
      <c r="V23" s="124">
        <f t="shared" ca="1" si="12"/>
        <v>3.0113418406678784E-2</v>
      </c>
    </row>
    <row r="24" spans="2: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4">
      <c r="B25" s="5"/>
      <c r="C25" s="34" t="s">
        <v>5</v>
      </c>
      <c r="D25" s="34"/>
      <c r="E25" s="34"/>
      <c r="F25" s="110">
        <v>77.8</v>
      </c>
      <c r="G25" s="110">
        <v>84.6</v>
      </c>
      <c r="H25" s="110">
        <v>84.5</v>
      </c>
      <c r="I25" s="110">
        <v>77.099999999999994</v>
      </c>
      <c r="J25" s="110">
        <v>74.599999999999994</v>
      </c>
      <c r="K25" s="110">
        <v>62.2</v>
      </c>
      <c r="L25" s="106">
        <f>+L15+L20</f>
        <v>58.017994262938636</v>
      </c>
      <c r="M25" s="106">
        <f>+M15+M20</f>
        <v>-32.252889249967879</v>
      </c>
      <c r="N25" s="106">
        <f>+N15+N20</f>
        <v>64.601478621383222</v>
      </c>
      <c r="O25" s="106">
        <f>+O15+O20</f>
        <v>72.565397431638388</v>
      </c>
      <c r="P25" s="106">
        <f>+P15+P20</f>
        <v>72.768217212764569</v>
      </c>
      <c r="Q25" s="106">
        <f t="shared" ref="Q25:V25" ca="1" si="13">Q15+Q20</f>
        <v>76.921741087792952</v>
      </c>
      <c r="R25" s="106">
        <f t="shared" ca="1" si="13"/>
        <v>80.879931564191793</v>
      </c>
      <c r="S25" s="106">
        <f t="shared" ca="1" si="13"/>
        <v>84.627255828317345</v>
      </c>
      <c r="T25" s="106">
        <f t="shared" ca="1" si="13"/>
        <v>88.149098610973454</v>
      </c>
      <c r="U25" s="106">
        <f t="shared" ca="1" si="13"/>
        <v>91.431900976446798</v>
      </c>
      <c r="V25" s="106">
        <f t="shared" ca="1" si="13"/>
        <v>94.463291655120031</v>
      </c>
    </row>
    <row r="26" spans="2:24">
      <c r="B26" s="5"/>
      <c r="C26" s="14" t="s">
        <v>0</v>
      </c>
      <c r="D26" s="14"/>
      <c r="E26" s="6"/>
      <c r="F26" s="6" t="str">
        <f t="shared" ref="F26:V26" si="14">IF(ISERROR(F25/E25-1),"n.a.",F25/E25-1)</f>
        <v>n.a.</v>
      </c>
      <c r="G26" s="6">
        <f t="shared" si="14"/>
        <v>8.740359897172234E-2</v>
      </c>
      <c r="H26" s="6">
        <f t="shared" si="14"/>
        <v>-1.1820330969266601E-3</v>
      </c>
      <c r="I26" s="6">
        <f t="shared" si="14"/>
        <v>-8.7573964497041468E-2</v>
      </c>
      <c r="J26" s="6">
        <f t="shared" si="14"/>
        <v>-3.2425421530479892E-2</v>
      </c>
      <c r="K26" s="6">
        <f t="shared" si="14"/>
        <v>-0.16621983914209104</v>
      </c>
      <c r="L26" s="6">
        <f t="shared" si="14"/>
        <v>-6.723481892381622E-2</v>
      </c>
      <c r="M26" s="6">
        <f t="shared" si="14"/>
        <v>-1.5559118280407485</v>
      </c>
      <c r="N26" s="6">
        <f t="shared" si="14"/>
        <v>-3.0029671797991728</v>
      </c>
      <c r="O26" s="6">
        <f t="shared" si="14"/>
        <v>0.12327765525198209</v>
      </c>
      <c r="P26" s="6">
        <f t="shared" si="14"/>
        <v>2.7949930449600036E-3</v>
      </c>
      <c r="Q26" s="6">
        <f t="shared" ca="1" si="14"/>
        <v>5.7078818667276598E-2</v>
      </c>
      <c r="R26" s="6">
        <f t="shared" ca="1" si="14"/>
        <v>5.1457369794597474E-2</v>
      </c>
      <c r="S26" s="6">
        <f t="shared" ca="1" si="14"/>
        <v>4.6331941578751534E-2</v>
      </c>
      <c r="T26" s="6">
        <f t="shared" ca="1" si="14"/>
        <v>4.1615939784232614E-2</v>
      </c>
      <c r="U26" s="6">
        <f t="shared" ca="1" si="14"/>
        <v>3.7241474016215026E-2</v>
      </c>
      <c r="V26" s="6">
        <f t="shared" ca="1" si="14"/>
        <v>3.3154628158219346E-2</v>
      </c>
    </row>
    <row r="27" spans="2:24">
      <c r="B27" s="5"/>
      <c r="C27" s="14" t="s">
        <v>1</v>
      </c>
      <c r="D27" s="14"/>
      <c r="E27" s="6"/>
      <c r="F27" s="6">
        <f t="shared" ref="F27:Q27" si="15">IF(ISERROR(F25/F$11),"n.a.",F25/F$11)</f>
        <v>8.2792380546983069E-2</v>
      </c>
      <c r="G27" s="6">
        <f t="shared" si="15"/>
        <v>8.4187481341427006E-2</v>
      </c>
      <c r="H27" s="6">
        <f t="shared" si="15"/>
        <v>8.272148800783162E-2</v>
      </c>
      <c r="I27" s="6">
        <f t="shared" si="15"/>
        <v>7.0410958904109588E-2</v>
      </c>
      <c r="J27" s="6">
        <f t="shared" si="15"/>
        <v>6.5721081843009427E-2</v>
      </c>
      <c r="K27" s="6">
        <f t="shared" si="15"/>
        <v>5.4628491129457238E-2</v>
      </c>
      <c r="L27" s="6">
        <f t="shared" si="15"/>
        <v>5.0484178941060394E-2</v>
      </c>
      <c r="M27" s="6">
        <f t="shared" si="15"/>
        <v>-2.9320808409061708E-2</v>
      </c>
      <c r="N27" s="6">
        <f t="shared" si="15"/>
        <v>4.7717310293172235E-2</v>
      </c>
      <c r="O27" s="6">
        <f t="shared" si="15"/>
        <v>5.0149707756228443E-2</v>
      </c>
      <c r="P27" s="6">
        <f t="shared" si="15"/>
        <v>5.0441696281252384E-2</v>
      </c>
      <c r="Q27" s="6">
        <f t="shared" ca="1" si="15"/>
        <v>5.2275341878980225E-2</v>
      </c>
      <c r="R27" s="6">
        <f ca="1">IF(ISERROR(R25/R$11),"n.a.",R25/R$11)</f>
        <v>5.3993412060104044E-2</v>
      </c>
      <c r="S27" s="6">
        <f ca="1">IF(ISERROR(S25/S$11),"n.a.",S25/S$11)</f>
        <v>5.5605346135147865E-2</v>
      </c>
      <c r="T27" s="6">
        <f ca="1">IF(ISERROR(T25/T$11),"n.a.",T25/T$11)</f>
        <v>5.7119738532139641E-2</v>
      </c>
      <c r="U27" s="6">
        <f ca="1">IF(ISERROR(U25/U$11),"n.a.",U25/U$11)</f>
        <v>5.8544428646736479E-2</v>
      </c>
      <c r="V27" s="6">
        <f ca="1">IF(ISERROR(V25/V$11),"n.a.",V25/V$11)</f>
        <v>5.988658159332122E-2</v>
      </c>
    </row>
    <row r="28" spans="2:2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4" ht="12.75" customHeight="1">
      <c r="B29" s="5"/>
      <c r="C29" s="14" t="s">
        <v>6</v>
      </c>
      <c r="D29" s="14"/>
      <c r="E29" s="6"/>
      <c r="F29" s="105"/>
      <c r="G29" s="105"/>
      <c r="H29" s="105"/>
      <c r="I29" s="105"/>
      <c r="J29" s="105"/>
      <c r="K29" s="125">
        <v>0.19</v>
      </c>
      <c r="L29" s="125">
        <v>0.19</v>
      </c>
      <c r="M29" s="125">
        <v>0.17</v>
      </c>
      <c r="N29" s="126">
        <f t="shared" ref="N29:V29" si="16">M29</f>
        <v>0.17</v>
      </c>
      <c r="O29" s="126">
        <f t="shared" si="16"/>
        <v>0.17</v>
      </c>
      <c r="P29" s="126">
        <f t="shared" si="16"/>
        <v>0.17</v>
      </c>
      <c r="Q29" s="126">
        <f t="shared" si="16"/>
        <v>0.17</v>
      </c>
      <c r="R29" s="126">
        <f t="shared" si="16"/>
        <v>0.17</v>
      </c>
      <c r="S29" s="126">
        <f t="shared" si="16"/>
        <v>0.17</v>
      </c>
      <c r="T29" s="126">
        <f t="shared" si="16"/>
        <v>0.17</v>
      </c>
      <c r="U29" s="126">
        <f t="shared" si="16"/>
        <v>0.17</v>
      </c>
      <c r="V29" s="126">
        <f t="shared" si="16"/>
        <v>0.17</v>
      </c>
    </row>
    <row r="30" spans="2:24" ht="12.75" customHeight="1">
      <c r="B30" s="5"/>
      <c r="C30" s="14"/>
      <c r="D30" s="14"/>
      <c r="E30" s="6"/>
      <c r="F30" s="105"/>
      <c r="G30" s="105"/>
      <c r="H30" s="105"/>
      <c r="I30" s="105"/>
      <c r="J30" s="105"/>
      <c r="K30" s="337"/>
      <c r="L30" s="337"/>
      <c r="M30" s="337"/>
      <c r="N30" s="336"/>
      <c r="O30" s="336"/>
      <c r="P30" s="336"/>
      <c r="Q30" s="336"/>
      <c r="R30" s="336"/>
      <c r="S30" s="336"/>
      <c r="T30" s="336"/>
      <c r="U30" s="336"/>
      <c r="V30" s="336"/>
    </row>
    <row r="31" spans="2:24">
      <c r="B31" s="5" t="s">
        <v>152</v>
      </c>
      <c r="C31" s="34" t="s">
        <v>153</v>
      </c>
      <c r="D31" s="34"/>
      <c r="E31" s="34"/>
      <c r="F31" s="110">
        <v>55.5</v>
      </c>
      <c r="G31" s="110">
        <v>65.8</v>
      </c>
      <c r="H31" s="110">
        <v>64.900000000000006</v>
      </c>
      <c r="I31" s="110">
        <v>59.5</v>
      </c>
      <c r="J31" s="110">
        <v>58.4</v>
      </c>
      <c r="K31" s="110">
        <v>48.3</v>
      </c>
      <c r="L31" s="113">
        <f>+('Company fin forecasts'!B13+'Company fin forecasts'!I13)*(1-L29)</f>
        <v>44.483575352980296</v>
      </c>
      <c r="M31" s="113">
        <f>+('Company fin forecasts'!C13+'Company fin forecasts'!J13)*(1-M29)</f>
        <v>-30.172898077473345</v>
      </c>
      <c r="N31" s="113">
        <f>+('Company fin forecasts'!D13+'Company fin forecasts'!K13)*(1-N29)</f>
        <v>50.216227255748052</v>
      </c>
      <c r="O31" s="113">
        <f>+('Company fin forecasts'!E13+'Company fin forecasts'!L13)*(1-O29)</f>
        <v>56.826279868259888</v>
      </c>
      <c r="P31" s="113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24">
      <c r="B32" s="5"/>
      <c r="C32" s="14" t="s">
        <v>0</v>
      </c>
      <c r="D32" s="14"/>
      <c r="E32" s="6"/>
      <c r="F32" s="6" t="str">
        <f t="shared" ref="F32:P32" si="17">IF(ISERROR(F31/E31-1),"n.a.",F31/E31-1)</f>
        <v>n.a.</v>
      </c>
      <c r="G32" s="6">
        <f t="shared" si="17"/>
        <v>0.18558558558558547</v>
      </c>
      <c r="H32" s="6">
        <f t="shared" si="17"/>
        <v>-1.3677811550151797E-2</v>
      </c>
      <c r="I32" s="6">
        <f t="shared" si="17"/>
        <v>-8.3204930662557852E-2</v>
      </c>
      <c r="J32" s="6">
        <f t="shared" si="17"/>
        <v>-1.8487394957983239E-2</v>
      </c>
      <c r="K32" s="6">
        <f t="shared" si="17"/>
        <v>-0.17294520547945214</v>
      </c>
      <c r="L32" s="6">
        <f t="shared" si="17"/>
        <v>-7.9015003043886201E-2</v>
      </c>
      <c r="M32" s="6">
        <f t="shared" si="17"/>
        <v>-1.6782930067569723</v>
      </c>
      <c r="N32" s="6">
        <f t="shared" si="17"/>
        <v>-2.6642825335110505</v>
      </c>
      <c r="O32" s="6">
        <f t="shared" si="17"/>
        <v>0.13163180457279799</v>
      </c>
      <c r="P32" s="6">
        <f t="shared" si="17"/>
        <v>2.9623691490097137E-3</v>
      </c>
      <c r="Q32" s="338"/>
      <c r="R32" s="338"/>
      <c r="S32" s="338"/>
      <c r="T32" s="5"/>
      <c r="U32" s="5"/>
      <c r="V32" s="5"/>
    </row>
    <row r="33" spans="2:23">
      <c r="B33" s="5"/>
      <c r="C33" s="14" t="s">
        <v>1</v>
      </c>
      <c r="D33" s="14"/>
      <c r="E33" s="6"/>
      <c r="F33" s="6">
        <f t="shared" ref="F33:P33" si="18">IF(ISERROR(F31/F$11),"n.a.",F31/F$11)</f>
        <v>5.9061402575289981E-2</v>
      </c>
      <c r="G33" s="6">
        <f t="shared" si="18"/>
        <v>6.5479152154443221E-2</v>
      </c>
      <c r="H33" s="6">
        <f t="shared" si="18"/>
        <v>6.35340186000979E-2</v>
      </c>
      <c r="I33" s="6">
        <f t="shared" si="18"/>
        <v>5.4337899543378997E-2</v>
      </c>
      <c r="J33" s="6">
        <f t="shared" si="18"/>
        <v>5.1449211523213814E-2</v>
      </c>
      <c r="K33" s="6">
        <f>IF(ISERROR(K31/K$11),"n.a.",K31/K$11)</f>
        <v>4.2420516423678202E-2</v>
      </c>
      <c r="L33" s="6">
        <f t="shared" si="18"/>
        <v>3.8707246029229668E-2</v>
      </c>
      <c r="M33" s="6">
        <f t="shared" si="18"/>
        <v>-2.7429907343157586E-2</v>
      </c>
      <c r="N33" s="6">
        <f t="shared" si="18"/>
        <v>3.709177171870244E-2</v>
      </c>
      <c r="O33" s="6">
        <f t="shared" si="18"/>
        <v>3.9272455317999319E-2</v>
      </c>
      <c r="P33" s="6">
        <f t="shared" si="18"/>
        <v>3.9507705922708969E-2</v>
      </c>
      <c r="Q33" s="5"/>
      <c r="R33" s="5"/>
      <c r="S33" s="5"/>
      <c r="T33" s="5"/>
      <c r="U33" s="5"/>
      <c r="V33" s="5"/>
    </row>
    <row r="34" spans="2:23">
      <c r="B34" s="5"/>
      <c r="C34" s="112"/>
      <c r="D34" s="112"/>
      <c r="E34" s="112"/>
      <c r="F34" s="156"/>
      <c r="G34" s="156"/>
      <c r="H34" s="156"/>
      <c r="I34" s="156"/>
      <c r="J34" s="156"/>
      <c r="K34" s="15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spans="2:23">
      <c r="B35" s="5"/>
      <c r="C35" s="112"/>
      <c r="D35" s="112"/>
      <c r="E35" s="112"/>
      <c r="F35" s="156"/>
      <c r="G35" s="156"/>
      <c r="H35" s="156"/>
      <c r="I35" s="156"/>
      <c r="J35" s="156"/>
      <c r="K35" s="15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3">
      <c r="B36" s="5"/>
      <c r="C36" s="112"/>
      <c r="D36" s="112"/>
      <c r="E36" s="112"/>
      <c r="F36" s="156"/>
      <c r="G36" s="156"/>
      <c r="H36" s="156"/>
      <c r="I36" s="156"/>
      <c r="J36" s="156"/>
      <c r="K36" s="15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spans="2:23" ht="12.75" customHeight="1">
      <c r="B37" s="5"/>
      <c r="C37" s="5"/>
      <c r="D37" s="5"/>
      <c r="E37" s="5"/>
      <c r="F37" s="111"/>
      <c r="G37" s="111"/>
      <c r="H37" s="111"/>
      <c r="I37" s="111"/>
      <c r="J37" s="111"/>
      <c r="K37" s="111"/>
      <c r="L37" s="5"/>
      <c r="M37" s="5"/>
      <c r="N37" s="5"/>
      <c r="O37" s="5"/>
      <c r="P37" s="5"/>
      <c r="S37" s="5"/>
      <c r="T37" s="5"/>
      <c r="U37" s="5"/>
      <c r="V37" s="5"/>
    </row>
    <row r="38" spans="2:23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2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23">
      <c r="B40" s="5"/>
      <c r="C40" s="34" t="s">
        <v>7</v>
      </c>
      <c r="D40" s="34"/>
      <c r="E40" s="34"/>
      <c r="F40" s="110">
        <v>-30.4</v>
      </c>
      <c r="G40" s="110">
        <v>-37.5</v>
      </c>
      <c r="H40" s="110">
        <v>-40.299999999999997</v>
      </c>
      <c r="I40" s="110">
        <v>-36.1</v>
      </c>
      <c r="J40" s="110">
        <v>-37.299999999999997</v>
      </c>
      <c r="K40" s="110">
        <v>-31</v>
      </c>
      <c r="L40" s="113">
        <f>+('Company fin forecasts'!B23)</f>
        <v>-36</v>
      </c>
      <c r="M40" s="113">
        <f>+('Company fin forecasts'!C23)</f>
        <v>-51</v>
      </c>
      <c r="N40" s="113">
        <f>+('Company fin forecasts'!D23)</f>
        <v>-50</v>
      </c>
      <c r="O40" s="113">
        <f>+('Company fin forecasts'!E23)</f>
        <v>-50</v>
      </c>
      <c r="P40" s="113">
        <f>+('Company fin forecasts'!F23)</f>
        <v>-50</v>
      </c>
      <c r="Q40" s="321">
        <f>+P40</f>
        <v>-50</v>
      </c>
      <c r="R40" s="321">
        <f t="shared" ref="R40:V40" si="19">+Q40</f>
        <v>-50</v>
      </c>
      <c r="S40" s="321">
        <f t="shared" si="19"/>
        <v>-50</v>
      </c>
      <c r="T40" s="321">
        <f t="shared" si="19"/>
        <v>-50</v>
      </c>
      <c r="U40" s="321">
        <f t="shared" si="19"/>
        <v>-50</v>
      </c>
      <c r="V40" s="321">
        <f t="shared" si="19"/>
        <v>-50</v>
      </c>
    </row>
    <row r="41" spans="2:23">
      <c r="B41" s="5"/>
      <c r="C41" s="14" t="s">
        <v>0</v>
      </c>
      <c r="D41" s="14"/>
      <c r="E41" s="6"/>
      <c r="F41" s="6" t="str">
        <f t="shared" ref="F41" si="20">IF(ISERROR(F40/E40-1),"n.a.",F40/E40-1)</f>
        <v>n.a.</v>
      </c>
      <c r="G41" s="6">
        <f>IF(ISERROR(G40/F40-1),"n.a.",G40/F40-1)</f>
        <v>0.23355263157894735</v>
      </c>
      <c r="H41" s="6">
        <f t="shared" ref="H41:V41" si="21">IF(ISERROR(H40/G40-1),"n.a.",H40/G40-1)</f>
        <v>7.4666666666666659E-2</v>
      </c>
      <c r="I41" s="6">
        <f t="shared" si="21"/>
        <v>-0.10421836228287829</v>
      </c>
      <c r="J41" s="6">
        <f t="shared" si="21"/>
        <v>3.3240997229916802E-2</v>
      </c>
      <c r="K41" s="6">
        <f t="shared" si="21"/>
        <v>-0.16890080428954413</v>
      </c>
      <c r="L41" s="6">
        <f t="shared" si="21"/>
        <v>0.16129032258064524</v>
      </c>
      <c r="M41" s="6">
        <f t="shared" si="21"/>
        <v>0.41666666666666674</v>
      </c>
      <c r="N41" s="6">
        <f t="shared" si="21"/>
        <v>-1.9607843137254943E-2</v>
      </c>
      <c r="O41" s="6">
        <f t="shared" si="21"/>
        <v>0</v>
      </c>
      <c r="P41" s="6">
        <f t="shared" si="21"/>
        <v>0</v>
      </c>
      <c r="Q41" s="6">
        <f t="shared" si="21"/>
        <v>0</v>
      </c>
      <c r="R41" s="6">
        <f t="shared" si="21"/>
        <v>0</v>
      </c>
      <c r="S41" s="6">
        <f t="shared" si="21"/>
        <v>0</v>
      </c>
      <c r="T41" s="6">
        <f t="shared" si="21"/>
        <v>0</v>
      </c>
      <c r="U41" s="6">
        <f t="shared" si="21"/>
        <v>0</v>
      </c>
      <c r="V41" s="6">
        <f t="shared" si="21"/>
        <v>0</v>
      </c>
    </row>
    <row r="42" spans="2:23" ht="12.75" customHeight="1">
      <c r="B42" s="14"/>
      <c r="C42" s="14" t="s">
        <v>24</v>
      </c>
      <c r="D42" s="14"/>
      <c r="E42" s="6"/>
      <c r="F42" s="124">
        <f t="shared" ref="F42:V42" si="22">IF(ISERROR(-F40/F$11),"n.a.",-F40/F$11)</f>
        <v>3.2350750239438113E-2</v>
      </c>
      <c r="G42" s="124">
        <f t="shared" si="22"/>
        <v>3.7317145984675094E-2</v>
      </c>
      <c r="H42" s="124">
        <f t="shared" si="22"/>
        <v>3.9451786588350461E-2</v>
      </c>
      <c r="I42" s="124">
        <f t="shared" si="22"/>
        <v>3.2968036529680368E-2</v>
      </c>
      <c r="J42" s="124">
        <f t="shared" si="22"/>
        <v>3.2860540921504713E-2</v>
      </c>
      <c r="K42" s="124">
        <f t="shared" si="22"/>
        <v>2.7226418408571932E-2</v>
      </c>
      <c r="L42" s="124">
        <f t="shared" si="22"/>
        <v>3.1325289075688233E-2</v>
      </c>
      <c r="M42" s="124">
        <f t="shared" si="22"/>
        <v>4.6363636363636364E-2</v>
      </c>
      <c r="N42" s="124">
        <f t="shared" si="22"/>
        <v>3.6932057370415751E-2</v>
      </c>
      <c r="O42" s="124">
        <f t="shared" si="22"/>
        <v>3.4554835728332456E-2</v>
      </c>
      <c r="P42" s="124">
        <f t="shared" si="22"/>
        <v>3.4659153551726836E-2</v>
      </c>
      <c r="Q42" s="124">
        <f t="shared" si="22"/>
        <v>3.3979562305614552E-2</v>
      </c>
      <c r="R42" s="124">
        <f t="shared" ca="1" si="22"/>
        <v>3.3378744897460261E-2</v>
      </c>
      <c r="S42" s="124">
        <f t="shared" ca="1" si="22"/>
        <v>3.2853095371516004E-2</v>
      </c>
      <c r="T42" s="124">
        <f t="shared" ca="1" si="22"/>
        <v>3.239950233877318E-2</v>
      </c>
      <c r="U42" s="124">
        <f t="shared" ca="1" si="22"/>
        <v>3.2015318516574284E-2</v>
      </c>
      <c r="V42" s="124">
        <f t="shared" ca="1" si="22"/>
        <v>3.1698335164925033E-2</v>
      </c>
    </row>
    <row r="43" spans="2:23">
      <c r="B43" s="14"/>
      <c r="C43" s="14" t="s">
        <v>128</v>
      </c>
      <c r="D43" s="14"/>
      <c r="E43" s="6"/>
      <c r="F43" s="6">
        <f t="shared" ref="F43:V43" si="23">(F15+F40)/F15</f>
        <v>0.69930761622156279</v>
      </c>
      <c r="G43" s="6">
        <f t="shared" si="23"/>
        <v>0.65878070973612379</v>
      </c>
      <c r="H43" s="6">
        <f t="shared" si="23"/>
        <v>0.64834205933682376</v>
      </c>
      <c r="I43" s="6">
        <f t="shared" si="23"/>
        <v>0.66789328426862915</v>
      </c>
      <c r="J43" s="6">
        <f t="shared" si="23"/>
        <v>0.65936073059360734</v>
      </c>
      <c r="K43" s="6">
        <f t="shared" si="23"/>
        <v>0.68431771894093685</v>
      </c>
      <c r="L43" s="6">
        <f t="shared" si="23"/>
        <v>0.61762010654500032</v>
      </c>
      <c r="M43" s="6">
        <f t="shared" si="23"/>
        <v>-5.2176891433537183</v>
      </c>
      <c r="N43" s="6">
        <f t="shared" si="23"/>
        <v>0.55275975236058583</v>
      </c>
      <c r="O43" s="6">
        <f t="shared" si="23"/>
        <v>0.59805439360848589</v>
      </c>
      <c r="P43" s="6">
        <f t="shared" si="23"/>
        <v>0.60805257353199449</v>
      </c>
      <c r="Q43" s="6">
        <f t="shared" ca="1" si="23"/>
        <v>0.616872920287732</v>
      </c>
      <c r="R43" s="6">
        <f t="shared" ca="1" si="23"/>
        <v>0.62475573378512061</v>
      </c>
      <c r="S43" s="6">
        <f t="shared" ca="1" si="23"/>
        <v>0.63174969274632697</v>
      </c>
      <c r="T43" s="6">
        <f t="shared" ca="1" si="23"/>
        <v>0.63789737839579175</v>
      </c>
      <c r="U43" s="6">
        <f t="shared" ca="1" si="23"/>
        <v>0.6432357029048309</v>
      </c>
      <c r="V43" s="6">
        <f t="shared" ca="1" si="23"/>
        <v>0.64779627594527744</v>
      </c>
    </row>
    <row r="44" spans="2:2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3">
      <c r="C45" s="34" t="s">
        <v>26</v>
      </c>
      <c r="D45" s="34"/>
      <c r="E45" s="34"/>
      <c r="F45" s="110">
        <f>-17+1+10.7</f>
        <v>-5.3000000000000007</v>
      </c>
      <c r="G45" s="110">
        <f>0.9-3+27.2</f>
        <v>25.099999999999998</v>
      </c>
      <c r="H45" s="110">
        <f>-8.6-4.9+2.3</f>
        <v>-11.2</v>
      </c>
      <c r="I45" s="110">
        <f>-33.2+2.3+14.6</f>
        <v>-16.300000000000004</v>
      </c>
      <c r="J45" s="110">
        <f>-4.4+2.4-10.6</f>
        <v>-12.6</v>
      </c>
      <c r="K45" s="110">
        <f>11.9-3.1-19.2</f>
        <v>-10.399999999999999</v>
      </c>
      <c r="L45" s="113">
        <f>+('Company fin forecasts'!B27)</f>
        <v>6</v>
      </c>
      <c r="M45" s="113">
        <f>+('Company fin forecasts'!C27)</f>
        <v>16.111954440903407</v>
      </c>
      <c r="N45" s="113">
        <f>+('Company fin forecasts'!D27)</f>
        <v>15.168892666804709</v>
      </c>
      <c r="O45" s="113">
        <f>+('Company fin forecasts'!E27)</f>
        <v>11.110216900668604</v>
      </c>
      <c r="P45" s="113">
        <f>+('Company fin forecasts'!F27)</f>
        <v>3.9548595532390358</v>
      </c>
      <c r="Q45" s="106">
        <f t="shared" ref="Q45:V45" si="24">Q47*Q11</f>
        <v>0</v>
      </c>
      <c r="R45" s="106">
        <f t="shared" ca="1" si="24"/>
        <v>0</v>
      </c>
      <c r="S45" s="106">
        <f t="shared" ca="1" si="24"/>
        <v>0</v>
      </c>
      <c r="T45" s="106">
        <f t="shared" ca="1" si="24"/>
        <v>0</v>
      </c>
      <c r="U45" s="106">
        <f t="shared" ca="1" si="24"/>
        <v>0</v>
      </c>
      <c r="V45" s="106">
        <f t="shared" ca="1" si="24"/>
        <v>0</v>
      </c>
    </row>
    <row r="46" spans="2:23">
      <c r="C46" s="14" t="s">
        <v>0</v>
      </c>
      <c r="D46" s="112"/>
      <c r="E46" s="112"/>
      <c r="F46" s="6" t="str">
        <f t="shared" ref="F46:V46" si="25">IF(ISERROR(F45/E45-1),"n.a.",F45/E45-1)</f>
        <v>n.a.</v>
      </c>
      <c r="G46" s="6">
        <f t="shared" si="25"/>
        <v>-5.7358490566037723</v>
      </c>
      <c r="H46" s="6">
        <f t="shared" si="25"/>
        <v>-1.4462151394422311</v>
      </c>
      <c r="I46" s="6">
        <f t="shared" si="25"/>
        <v>0.45535714285714324</v>
      </c>
      <c r="J46" s="6">
        <f t="shared" si="25"/>
        <v>-0.22699386503067509</v>
      </c>
      <c r="K46" s="6">
        <f t="shared" si="25"/>
        <v>-0.17460317460317465</v>
      </c>
      <c r="L46" s="6">
        <f t="shared" si="25"/>
        <v>-1.5769230769230771</v>
      </c>
      <c r="M46" s="6">
        <f t="shared" si="25"/>
        <v>1.6853257401505677</v>
      </c>
      <c r="N46" s="6">
        <f t="shared" si="25"/>
        <v>-5.8531804912788754E-2</v>
      </c>
      <c r="O46" s="6">
        <f t="shared" si="25"/>
        <v>-0.26756572515131749</v>
      </c>
      <c r="P46" s="6">
        <f t="shared" si="25"/>
        <v>-0.64403399244158455</v>
      </c>
      <c r="Q46" s="6">
        <f t="shared" si="25"/>
        <v>-1</v>
      </c>
      <c r="R46" s="6" t="str">
        <f t="shared" ca="1" si="25"/>
        <v>n.a.</v>
      </c>
      <c r="S46" s="6" t="str">
        <f t="shared" ca="1" si="25"/>
        <v>n.a.</v>
      </c>
      <c r="T46" s="6" t="str">
        <f t="shared" ca="1" si="25"/>
        <v>n.a.</v>
      </c>
      <c r="U46" s="6" t="str">
        <f t="shared" ca="1" si="25"/>
        <v>n.a.</v>
      </c>
      <c r="V46" s="6" t="str">
        <f t="shared" ca="1" si="25"/>
        <v>n.a.</v>
      </c>
    </row>
    <row r="47" spans="2:23">
      <c r="C47" s="14" t="s">
        <v>24</v>
      </c>
      <c r="D47" s="14"/>
      <c r="E47" s="6"/>
      <c r="F47" s="6">
        <f t="shared" ref="F47:P47" si="26">IF(ISERROR(F45/F$11),"n.a.",F45/F$11)</f>
        <v>-5.6400979035862511E-3</v>
      </c>
      <c r="G47" s="6">
        <f t="shared" si="26"/>
        <v>2.4977609712409192E-2</v>
      </c>
      <c r="H47" s="6">
        <f t="shared" si="26"/>
        <v>-1.0964268232990699E-2</v>
      </c>
      <c r="I47" s="6">
        <f t="shared" si="26"/>
        <v>-1.4885844748858451E-2</v>
      </c>
      <c r="J47" s="6">
        <f t="shared" si="26"/>
        <v>-1.1100343582063256E-2</v>
      </c>
      <c r="K47" s="6">
        <f t="shared" si="26"/>
        <v>-9.1340242402950991E-3</v>
      </c>
      <c r="L47" s="6">
        <f t="shared" si="26"/>
        <v>5.2208815126147052E-3</v>
      </c>
      <c r="M47" s="6">
        <f t="shared" si="26"/>
        <v>1.4647231309912188E-2</v>
      </c>
      <c r="N47" s="6">
        <f t="shared" si="26"/>
        <v>1.1204368284322206E-2</v>
      </c>
      <c r="O47" s="6">
        <f t="shared" si="26"/>
        <v>7.6782343981749305E-3</v>
      </c>
      <c r="P47" s="6">
        <f t="shared" si="26"/>
        <v>2.741441690624511E-3</v>
      </c>
      <c r="Q47" s="125">
        <v>0</v>
      </c>
      <c r="R47" s="6">
        <f t="shared" ref="R47:V47" si="27">Q47</f>
        <v>0</v>
      </c>
      <c r="S47" s="6">
        <f t="shared" si="27"/>
        <v>0</v>
      </c>
      <c r="T47" s="6">
        <f t="shared" si="27"/>
        <v>0</v>
      </c>
      <c r="U47" s="6">
        <f t="shared" si="27"/>
        <v>0</v>
      </c>
      <c r="V47" s="6">
        <f t="shared" si="27"/>
        <v>0</v>
      </c>
    </row>
    <row r="48" spans="2:23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>
      <c r="B49" s="5"/>
      <c r="C49" s="34" t="s">
        <v>130</v>
      </c>
      <c r="D49" s="34"/>
      <c r="E49" s="34"/>
      <c r="F49" s="110"/>
      <c r="G49" s="110"/>
      <c r="H49" s="110"/>
      <c r="I49" s="110"/>
      <c r="J49" s="110">
        <v>-1.5</v>
      </c>
      <c r="K49" s="110">
        <v>0.74</v>
      </c>
      <c r="L49" s="113">
        <f>+('Company fin forecasts'!B29)</f>
        <v>0</v>
      </c>
      <c r="M49" s="113">
        <f>+('Company fin forecasts'!C29)</f>
        <v>0</v>
      </c>
      <c r="N49" s="113">
        <f>+('Company fin forecasts'!D29)</f>
        <v>-5</v>
      </c>
      <c r="O49" s="113">
        <f>+('Company fin forecasts'!E29)</f>
        <v>-5</v>
      </c>
      <c r="P49" s="113">
        <f>+('Company fin forecasts'!F29)</f>
        <v>-5</v>
      </c>
      <c r="Q49" s="110">
        <v>-5</v>
      </c>
      <c r="R49" s="110">
        <f t="shared" ref="R49:V49" si="28">+Q49</f>
        <v>-5</v>
      </c>
      <c r="S49" s="110">
        <f t="shared" si="28"/>
        <v>-5</v>
      </c>
      <c r="T49" s="110">
        <f t="shared" si="28"/>
        <v>-5</v>
      </c>
      <c r="U49" s="110">
        <f t="shared" si="28"/>
        <v>-5</v>
      </c>
      <c r="V49" s="110">
        <f t="shared" si="28"/>
        <v>-5</v>
      </c>
    </row>
    <row r="50" spans="2:22">
      <c r="B50" s="5"/>
      <c r="C50" s="14" t="s">
        <v>0</v>
      </c>
      <c r="D50" s="14"/>
      <c r="E50" s="6"/>
      <c r="F50" s="6" t="str">
        <f t="shared" ref="F50" si="29">IF(ISERROR(F49/E49-1),"n.a.",F49/E49-1)</f>
        <v>n.a.</v>
      </c>
      <c r="G50" s="6" t="str">
        <f>IF(ISERROR(G49/F49-1),"n.a.",G49/F49-1)</f>
        <v>n.a.</v>
      </c>
      <c r="H50" s="6" t="str">
        <f t="shared" ref="H50" si="30">IF(ISERROR(H49/G49-1),"n.a.",H49/G49-1)</f>
        <v>n.a.</v>
      </c>
      <c r="I50" s="6" t="str">
        <f t="shared" ref="I50" si="31">IF(ISERROR(I49/H49-1),"n.a.",I49/H49-1)</f>
        <v>n.a.</v>
      </c>
      <c r="J50" s="6" t="str">
        <f t="shared" ref="J50" si="32">IF(ISERROR(J49/I49-1),"n.a.",J49/I49-1)</f>
        <v>n.a.</v>
      </c>
      <c r="K50" s="6">
        <f t="shared" ref="K50" si="33">IF(ISERROR(K49/J49-1),"n.a.",K49/J49-1)</f>
        <v>-1.4933333333333334</v>
      </c>
      <c r="L50" s="6">
        <f t="shared" ref="L50" si="34">IF(ISERROR(L49/K49-1),"n.a.",L49/K49-1)</f>
        <v>-1</v>
      </c>
      <c r="M50" s="6" t="str">
        <f t="shared" ref="M50" si="35">IF(ISERROR(M49/L49-1),"n.a.",M49/L49-1)</f>
        <v>n.a.</v>
      </c>
      <c r="N50" s="6" t="str">
        <f t="shared" ref="N50" si="36">IF(ISERROR(N49/M49-1),"n.a.",N49/M49-1)</f>
        <v>n.a.</v>
      </c>
      <c r="O50" s="6">
        <f t="shared" ref="O50" si="37">IF(ISERROR(O49/N49-1),"n.a.",O49/N49-1)</f>
        <v>0</v>
      </c>
      <c r="P50" s="6">
        <f t="shared" ref="P50" si="38">IF(ISERROR(P49/O49-1),"n.a.",P49/O49-1)</f>
        <v>0</v>
      </c>
      <c r="Q50" s="6">
        <f t="shared" ref="Q50" si="39">IF(ISERROR(Q49/P49-1),"n.a.",Q49/P49-1)</f>
        <v>0</v>
      </c>
      <c r="R50" s="6">
        <f t="shared" ref="R50" si="40">IF(ISERROR(R49/Q49-1),"n.a.",R49/Q49-1)</f>
        <v>0</v>
      </c>
      <c r="S50" s="6">
        <f t="shared" ref="S50" si="41">IF(ISERROR(S49/R49-1),"n.a.",S49/R49-1)</f>
        <v>0</v>
      </c>
      <c r="T50" s="6">
        <f t="shared" ref="T50" si="42">IF(ISERROR(T49/S49-1),"n.a.",T49/S49-1)</f>
        <v>0</v>
      </c>
      <c r="U50" s="6">
        <f t="shared" ref="U50" si="43">IF(ISERROR(U49/T49-1),"n.a.",U49/T49-1)</f>
        <v>0</v>
      </c>
      <c r="V50" s="6">
        <f t="shared" ref="V50" si="44">IF(ISERROR(V49/U49-1),"n.a.",V49/U49-1)</f>
        <v>0</v>
      </c>
    </row>
    <row r="51" spans="2:22" ht="12.75" customHeight="1">
      <c r="B51" s="14"/>
      <c r="C51" s="14" t="s">
        <v>24</v>
      </c>
      <c r="D51" s="14"/>
      <c r="E51" s="6"/>
      <c r="F51" s="124">
        <f t="shared" ref="F51:V51" si="45">IF(ISERROR(-F49/F$11),"n.a.",-F49/F$11)</f>
        <v>0</v>
      </c>
      <c r="G51" s="124">
        <f t="shared" si="45"/>
        <v>0</v>
      </c>
      <c r="H51" s="124">
        <f t="shared" si="45"/>
        <v>0</v>
      </c>
      <c r="I51" s="124">
        <f t="shared" si="45"/>
        <v>0</v>
      </c>
      <c r="J51" s="124">
        <f t="shared" si="45"/>
        <v>1.3214694740551493E-3</v>
      </c>
      <c r="K51" s="124">
        <f t="shared" si="45"/>
        <v>-6.4992095555945904E-4</v>
      </c>
      <c r="L51" s="124">
        <f t="shared" si="45"/>
        <v>0</v>
      </c>
      <c r="M51" s="124">
        <f t="shared" si="45"/>
        <v>0</v>
      </c>
      <c r="N51" s="124">
        <f t="shared" si="45"/>
        <v>3.6932057370415751E-3</v>
      </c>
      <c r="O51" s="124">
        <f t="shared" si="45"/>
        <v>3.4554835728332453E-3</v>
      </c>
      <c r="P51" s="124">
        <f t="shared" si="45"/>
        <v>3.4659153551726838E-3</v>
      </c>
      <c r="Q51" s="124">
        <f t="shared" si="45"/>
        <v>3.3979562305614551E-3</v>
      </c>
      <c r="R51" s="124">
        <f t="shared" ca="1" si="45"/>
        <v>3.3378744897460265E-3</v>
      </c>
      <c r="S51" s="124">
        <f t="shared" ca="1" si="45"/>
        <v>3.2853095371516007E-3</v>
      </c>
      <c r="T51" s="124">
        <f t="shared" ca="1" si="45"/>
        <v>3.2399502338773178E-3</v>
      </c>
      <c r="U51" s="124">
        <f t="shared" ca="1" si="45"/>
        <v>3.2015318516574287E-3</v>
      </c>
      <c r="V51" s="124">
        <f t="shared" ca="1" si="45"/>
        <v>3.1698335164925037E-3</v>
      </c>
    </row>
    <row r="52" spans="2:22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>
      <c r="B53" s="5"/>
      <c r="C53" s="34" t="s">
        <v>131</v>
      </c>
      <c r="D53" s="34"/>
      <c r="E53" s="34"/>
      <c r="F53" s="110"/>
      <c r="G53" s="110"/>
      <c r="H53" s="110"/>
      <c r="I53" s="110"/>
      <c r="J53" s="110">
        <v>0</v>
      </c>
      <c r="K53" s="110">
        <v>0</v>
      </c>
      <c r="L53" s="113">
        <f>+('Company fin forecasts'!B15+'Company fin forecasts'!B22)</f>
        <v>0</v>
      </c>
      <c r="M53" s="113">
        <f>+('Company fin forecasts'!C15+'Company fin forecasts'!C22)</f>
        <v>-18.004468664734777</v>
      </c>
      <c r="N53" s="113">
        <f>+('Company fin forecasts'!D15+'Company fin forecasts'!D22)</f>
        <v>-6.7527180429793674</v>
      </c>
      <c r="O53" s="113">
        <f>+('Company fin forecasts'!E15+'Company fin forecasts'!E22)</f>
        <v>25.138454026318882</v>
      </c>
      <c r="P53" s="113">
        <f>+('Company fin forecasts'!F15+'Company fin forecasts'!F22)</f>
        <v>-4.8650405710493061</v>
      </c>
      <c r="Q53" s="110">
        <v>0</v>
      </c>
      <c r="R53" s="110">
        <f t="shared" ref="R53:V53" si="46">+Q53</f>
        <v>0</v>
      </c>
      <c r="S53" s="110">
        <f t="shared" si="46"/>
        <v>0</v>
      </c>
      <c r="T53" s="110">
        <f t="shared" si="46"/>
        <v>0</v>
      </c>
      <c r="U53" s="110">
        <f t="shared" si="46"/>
        <v>0</v>
      </c>
      <c r="V53" s="110">
        <f t="shared" si="46"/>
        <v>0</v>
      </c>
    </row>
    <row r="54" spans="2:22">
      <c r="B54" s="5"/>
      <c r="C54" s="14" t="s">
        <v>0</v>
      </c>
      <c r="D54" s="14"/>
      <c r="E54" s="6"/>
      <c r="F54" s="6" t="str">
        <f t="shared" ref="F54" si="47">IF(ISERROR(F53/E53-1),"n.a.",F53/E53-1)</f>
        <v>n.a.</v>
      </c>
      <c r="G54" s="6" t="str">
        <f>IF(ISERROR(G53/F53-1),"n.a.",G53/F53-1)</f>
        <v>n.a.</v>
      </c>
      <c r="H54" s="6" t="str">
        <f t="shared" ref="H54" si="48">IF(ISERROR(H53/G53-1),"n.a.",H53/G53-1)</f>
        <v>n.a.</v>
      </c>
      <c r="I54" s="6" t="str">
        <f t="shared" ref="I54" si="49">IF(ISERROR(I53/H53-1),"n.a.",I53/H53-1)</f>
        <v>n.a.</v>
      </c>
      <c r="J54" s="6" t="str">
        <f t="shared" ref="J54" si="50">IF(ISERROR(J53/I53-1),"n.a.",J53/I53-1)</f>
        <v>n.a.</v>
      </c>
      <c r="K54" s="6" t="str">
        <f t="shared" ref="K54" si="51">IF(ISERROR(K53/J53-1),"n.a.",K53/J53-1)</f>
        <v>n.a.</v>
      </c>
      <c r="L54" s="6" t="str">
        <f t="shared" ref="L54" si="52">IF(ISERROR(L53/K53-1),"n.a.",L53/K53-1)</f>
        <v>n.a.</v>
      </c>
      <c r="M54" s="6" t="str">
        <f t="shared" ref="M54" si="53">IF(ISERROR(M53/L53-1),"n.a.",M53/L53-1)</f>
        <v>n.a.</v>
      </c>
      <c r="N54" s="6">
        <f t="shared" ref="N54" si="54">IF(ISERROR(N53/M53-1),"n.a.",N53/M53-1)</f>
        <v>-0.62494210916616122</v>
      </c>
      <c r="O54" s="6">
        <f t="shared" ref="O54" si="55">IF(ISERROR(O53/N53-1),"n.a.",O53/N53-1)</f>
        <v>-4.722716373809611</v>
      </c>
      <c r="P54" s="6">
        <f t="shared" ref="P54" si="56">IF(ISERROR(P53/O53-1),"n.a.",P53/O53-1)</f>
        <v>-1.1935298235108578</v>
      </c>
      <c r="Q54" s="6">
        <f t="shared" ref="Q54" si="57">IF(ISERROR(Q53/P53-1),"n.a.",Q53/P53-1)</f>
        <v>-1</v>
      </c>
      <c r="R54" s="6" t="str">
        <f t="shared" ref="R54" si="58">IF(ISERROR(R53/Q53-1),"n.a.",R53/Q53-1)</f>
        <v>n.a.</v>
      </c>
      <c r="S54" s="6" t="str">
        <f t="shared" ref="S54" si="59">IF(ISERROR(S53/R53-1),"n.a.",S53/R53-1)</f>
        <v>n.a.</v>
      </c>
      <c r="T54" s="6" t="str">
        <f t="shared" ref="T54" si="60">IF(ISERROR(T53/S53-1),"n.a.",T53/S53-1)</f>
        <v>n.a.</v>
      </c>
      <c r="U54" s="6" t="str">
        <f t="shared" ref="U54" si="61">IF(ISERROR(U53/T53-1),"n.a.",U53/T53-1)</f>
        <v>n.a.</v>
      </c>
      <c r="V54" s="6" t="str">
        <f t="shared" ref="V54" si="62">IF(ISERROR(V53/U53-1),"n.a.",V53/U53-1)</f>
        <v>n.a.</v>
      </c>
    </row>
    <row r="55" spans="2:22" ht="12.75" customHeight="1">
      <c r="B55" s="14"/>
      <c r="C55" s="14" t="s">
        <v>24</v>
      </c>
      <c r="D55" s="14"/>
      <c r="E55" s="6"/>
      <c r="F55" s="124">
        <f t="shared" ref="F55:V55" si="63">IF(ISERROR(-F53/F$11),"n.a.",-F53/F$11)</f>
        <v>0</v>
      </c>
      <c r="G55" s="124">
        <f t="shared" si="63"/>
        <v>0</v>
      </c>
      <c r="H55" s="124">
        <f t="shared" si="63"/>
        <v>0</v>
      </c>
      <c r="I55" s="124">
        <f t="shared" si="63"/>
        <v>0</v>
      </c>
      <c r="J55" s="124">
        <f t="shared" si="63"/>
        <v>0</v>
      </c>
      <c r="K55" s="124">
        <f t="shared" si="63"/>
        <v>0</v>
      </c>
      <c r="L55" s="124">
        <f t="shared" si="63"/>
        <v>0</v>
      </c>
      <c r="M55" s="124">
        <f t="shared" si="63"/>
        <v>1.6367698786122525E-2</v>
      </c>
      <c r="N55" s="124">
        <f t="shared" si="63"/>
        <v>4.9878354033911108E-3</v>
      </c>
      <c r="O55" s="124">
        <f t="shared" si="63"/>
        <v>-1.737310298687373E-2</v>
      </c>
      <c r="P55" s="124">
        <f t="shared" si="63"/>
        <v>3.3723637637475745E-3</v>
      </c>
      <c r="Q55" s="124">
        <f t="shared" si="63"/>
        <v>0</v>
      </c>
      <c r="R55" s="124">
        <f t="shared" ca="1" si="63"/>
        <v>0</v>
      </c>
      <c r="S55" s="124">
        <f t="shared" ca="1" si="63"/>
        <v>0</v>
      </c>
      <c r="T55" s="124">
        <f t="shared" ca="1" si="63"/>
        <v>0</v>
      </c>
      <c r="U55" s="124">
        <f t="shared" ca="1" si="63"/>
        <v>0</v>
      </c>
      <c r="V55" s="124">
        <f t="shared" ca="1" si="63"/>
        <v>0</v>
      </c>
    </row>
    <row r="56" spans="2:22">
      <c r="L56" s="221"/>
      <c r="M56" s="221"/>
    </row>
    <row r="57" spans="2:22">
      <c r="C57" s="90" t="s">
        <v>13</v>
      </c>
      <c r="D57" s="91"/>
      <c r="E57" s="92"/>
      <c r="F57" s="93"/>
      <c r="G57" s="93"/>
      <c r="H57" s="93"/>
      <c r="I57" s="93"/>
      <c r="J57" s="93"/>
      <c r="K57" s="93"/>
      <c r="L57" s="92"/>
      <c r="M57" s="93"/>
      <c r="N57" s="91"/>
      <c r="O57" s="91"/>
      <c r="P57" s="91"/>
      <c r="Q57" s="91"/>
      <c r="R57" s="91"/>
      <c r="S57" s="91"/>
      <c r="T57" s="91"/>
      <c r="U57" s="91"/>
      <c r="V57" s="91"/>
    </row>
    <row r="58" spans="2:22">
      <c r="C58" s="72" t="s">
        <v>69</v>
      </c>
      <c r="D58" s="72"/>
      <c r="E58" s="101"/>
      <c r="F58" s="214">
        <f t="shared" ref="F58:V58" si="64">F9</f>
        <v>41729</v>
      </c>
      <c r="G58" s="214">
        <f t="shared" si="64"/>
        <v>42094</v>
      </c>
      <c r="H58" s="214">
        <f t="shared" si="64"/>
        <v>42460</v>
      </c>
      <c r="I58" s="214">
        <f t="shared" si="64"/>
        <v>42825</v>
      </c>
      <c r="J58" s="214">
        <f t="shared" si="64"/>
        <v>43190</v>
      </c>
      <c r="K58" s="214">
        <f t="shared" si="64"/>
        <v>43555</v>
      </c>
      <c r="L58" s="215">
        <f t="shared" si="64"/>
        <v>43921</v>
      </c>
      <c r="M58" s="215">
        <f t="shared" si="64"/>
        <v>44286</v>
      </c>
      <c r="N58" s="215">
        <f t="shared" si="64"/>
        <v>44651</v>
      </c>
      <c r="O58" s="215">
        <f t="shared" si="64"/>
        <v>45016</v>
      </c>
      <c r="P58" s="215">
        <f t="shared" si="64"/>
        <v>45382</v>
      </c>
      <c r="Q58" s="215">
        <f t="shared" si="64"/>
        <v>45747</v>
      </c>
      <c r="R58" s="215">
        <f t="shared" si="64"/>
        <v>46112</v>
      </c>
      <c r="S58" s="215">
        <f t="shared" si="64"/>
        <v>46477</v>
      </c>
      <c r="T58" s="215">
        <f t="shared" si="64"/>
        <v>46843</v>
      </c>
      <c r="U58" s="215">
        <f t="shared" si="64"/>
        <v>47208</v>
      </c>
      <c r="V58" s="215">
        <f t="shared" si="64"/>
        <v>47573</v>
      </c>
    </row>
    <row r="59" spans="2:22">
      <c r="C59" s="103"/>
      <c r="D59" s="103"/>
      <c r="E59" s="104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</row>
    <row r="60" spans="2:22">
      <c r="C60" s="212" t="s">
        <v>2</v>
      </c>
      <c r="D60" s="212"/>
      <c r="E60" s="212"/>
      <c r="F60" s="217">
        <f t="shared" ref="F60:O60" si="65">F11</f>
        <v>939.7</v>
      </c>
      <c r="G60" s="217">
        <f t="shared" si="65"/>
        <v>1004.9</v>
      </c>
      <c r="H60" s="217">
        <f t="shared" si="65"/>
        <v>1021.5</v>
      </c>
      <c r="I60" s="217">
        <f t="shared" si="65"/>
        <v>1095</v>
      </c>
      <c r="J60" s="217">
        <f t="shared" si="65"/>
        <v>1135.0999999999999</v>
      </c>
      <c r="K60" s="217">
        <f t="shared" si="65"/>
        <v>1138.5999999999999</v>
      </c>
      <c r="L60" s="217">
        <f t="shared" si="65"/>
        <v>1149.2312142121568</v>
      </c>
      <c r="M60" s="217">
        <f t="shared" si="65"/>
        <v>1100</v>
      </c>
      <c r="N60" s="217">
        <f t="shared" si="65"/>
        <v>1353.8373857301615</v>
      </c>
      <c r="O60" s="217">
        <f t="shared" si="65"/>
        <v>1446.9754795854415</v>
      </c>
      <c r="P60" s="217">
        <f t="shared" ref="P60:V60" si="66">P11</f>
        <v>1442.6203434361953</v>
      </c>
      <c r="Q60" s="217">
        <f t="shared" si="66"/>
        <v>1471.4727503049191</v>
      </c>
      <c r="R60" s="217">
        <f t="shared" ca="1" si="66"/>
        <v>1497.9592598104077</v>
      </c>
      <c r="S60" s="217">
        <f t="shared" ca="1" si="66"/>
        <v>1521.9266079673744</v>
      </c>
      <c r="T60" s="217">
        <f t="shared" ca="1" si="66"/>
        <v>1543.2335804789177</v>
      </c>
      <c r="U60" s="217">
        <f t="shared" ca="1" si="66"/>
        <v>1561.7523834446647</v>
      </c>
      <c r="V60" s="217">
        <f t="shared" ca="1" si="66"/>
        <v>1577.3699072791114</v>
      </c>
    </row>
    <row r="61" spans="2:22">
      <c r="C61" s="209" t="s">
        <v>0</v>
      </c>
      <c r="D61" s="208"/>
      <c r="E61" s="210"/>
      <c r="F61" s="218" t="str">
        <f>IF(ISERROR(F60/E60-1),"n.a.",F60/E60-1)</f>
        <v>n.a.</v>
      </c>
      <c r="G61" s="218">
        <f t="shared" ref="G61:V61" si="67">IF(ISERROR(G60/F60-1),"n.a.",G60/F60-1)</f>
        <v>6.9383845908268516E-2</v>
      </c>
      <c r="H61" s="218">
        <f t="shared" si="67"/>
        <v>1.6519056622549488E-2</v>
      </c>
      <c r="I61" s="218">
        <f t="shared" si="67"/>
        <v>7.1953010279001361E-2</v>
      </c>
      <c r="J61" s="218">
        <f t="shared" si="67"/>
        <v>3.6621004566209869E-2</v>
      </c>
      <c r="K61" s="218">
        <f t="shared" si="67"/>
        <v>3.0834287727954379E-3</v>
      </c>
      <c r="L61" s="218">
        <f t="shared" si="67"/>
        <v>9.3370931074625574E-3</v>
      </c>
      <c r="M61" s="218">
        <f t="shared" si="67"/>
        <v>-4.2838389353970663E-2</v>
      </c>
      <c r="N61" s="218">
        <f t="shared" si="67"/>
        <v>0.23076125975469219</v>
      </c>
      <c r="O61" s="218">
        <f t="shared" si="67"/>
        <v>6.879562851268739E-2</v>
      </c>
      <c r="P61" s="218">
        <f t="shared" si="67"/>
        <v>-3.0098202842344657E-3</v>
      </c>
      <c r="Q61" s="218">
        <f t="shared" si="67"/>
        <v>2.0000000000000018E-2</v>
      </c>
      <c r="R61" s="218">
        <f t="shared" ca="1" si="67"/>
        <v>1.8000000000000016E-2</v>
      </c>
      <c r="S61" s="218">
        <f t="shared" ca="1" si="67"/>
        <v>1.6000000000000014E-2</v>
      </c>
      <c r="T61" s="218">
        <f t="shared" ca="1" si="67"/>
        <v>1.4000000000000012E-2</v>
      </c>
      <c r="U61" s="218">
        <f t="shared" ca="1" si="67"/>
        <v>1.2000000000000011E-2</v>
      </c>
      <c r="V61" s="218">
        <f t="shared" ca="1" si="67"/>
        <v>1.0000000000000009E-2</v>
      </c>
    </row>
    <row r="62" spans="2:22">
      <c r="C62" s="212" t="s">
        <v>3</v>
      </c>
      <c r="D62" s="212"/>
      <c r="E62" s="212"/>
      <c r="F62" s="217">
        <f t="shared" ref="F62:P62" si="68">F15</f>
        <v>101.1</v>
      </c>
      <c r="G62" s="217">
        <f t="shared" si="68"/>
        <v>109.9</v>
      </c>
      <c r="H62" s="217">
        <f t="shared" si="68"/>
        <v>114.6</v>
      </c>
      <c r="I62" s="217">
        <f t="shared" si="68"/>
        <v>108.7</v>
      </c>
      <c r="J62" s="217">
        <f t="shared" si="68"/>
        <v>109.5</v>
      </c>
      <c r="K62" s="217">
        <f t="shared" si="68"/>
        <v>98.2</v>
      </c>
      <c r="L62" s="217">
        <f t="shared" si="68"/>
        <v>94.147209662938664</v>
      </c>
      <c r="M62" s="217">
        <f t="shared" si="68"/>
        <v>8.2024042733811307</v>
      </c>
      <c r="N62" s="217">
        <f t="shared" si="68"/>
        <v>111.79673623719195</v>
      </c>
      <c r="O62" s="217">
        <f t="shared" si="68"/>
        <v>124.39494101920255</v>
      </c>
      <c r="P62" s="217">
        <f t="shared" si="68"/>
        <v>127.56812935492377</v>
      </c>
      <c r="Q62" s="217">
        <f t="shared" ref="Q62:V62" ca="1" si="69">Q15</f>
        <v>130.50500120625895</v>
      </c>
      <c r="R62" s="217">
        <f t="shared" ca="1" si="69"/>
        <v>133.24653965896459</v>
      </c>
      <c r="S62" s="217">
        <f t="shared" ca="1" si="69"/>
        <v>135.77721189939695</v>
      </c>
      <c r="T62" s="217">
        <f t="shared" ca="1" si="69"/>
        <v>138.08240265835985</v>
      </c>
      <c r="U62" s="217">
        <f t="shared" ca="1" si="69"/>
        <v>140.14855300014</v>
      </c>
      <c r="V62" s="217">
        <f t="shared" ca="1" si="69"/>
        <v>141.96329165512003</v>
      </c>
    </row>
    <row r="63" spans="2:22">
      <c r="C63" s="209" t="s">
        <v>0</v>
      </c>
      <c r="D63" s="208"/>
      <c r="E63" s="210"/>
      <c r="F63" s="218" t="str">
        <f>IF(ISERROR(F62/E62-1),"n.a.",F62/E62-1)</f>
        <v>n.a.</v>
      </c>
      <c r="G63" s="218">
        <f t="shared" ref="G63:V63" si="70">IF(ISERROR(G62/F62-1),"n.a.",G62/F62-1)</f>
        <v>8.7042532146389906E-2</v>
      </c>
      <c r="H63" s="218">
        <f t="shared" si="70"/>
        <v>4.2766151046405687E-2</v>
      </c>
      <c r="I63" s="218">
        <f t="shared" si="70"/>
        <v>-5.148342059336819E-2</v>
      </c>
      <c r="J63" s="218">
        <f t="shared" si="70"/>
        <v>7.3597056117755688E-3</v>
      </c>
      <c r="K63" s="218">
        <f t="shared" si="70"/>
        <v>-0.10319634703196345</v>
      </c>
      <c r="L63" s="218">
        <f t="shared" si="70"/>
        <v>-4.1270777363150102E-2</v>
      </c>
      <c r="M63" s="218">
        <f t="shared" si="70"/>
        <v>-0.9128768202186025</v>
      </c>
      <c r="N63" s="218">
        <f t="shared" si="70"/>
        <v>12.629752022830738</v>
      </c>
      <c r="O63" s="218">
        <f t="shared" si="70"/>
        <v>0.1126884845303695</v>
      </c>
      <c r="P63" s="218">
        <f t="shared" si="70"/>
        <v>2.5508982195918906E-2</v>
      </c>
      <c r="Q63" s="218">
        <f t="shared" ca="1" si="70"/>
        <v>2.302198727994309E-2</v>
      </c>
      <c r="R63" s="218">
        <f t="shared" ca="1" si="70"/>
        <v>2.1007152426079978E-2</v>
      </c>
      <c r="S63" s="218">
        <f t="shared" ca="1" si="70"/>
        <v>1.8992404957828057E-2</v>
      </c>
      <c r="T63" s="218">
        <f t="shared" ca="1" si="70"/>
        <v>1.6977744105328485E-2</v>
      </c>
      <c r="U63" s="218">
        <f t="shared" ca="1" si="70"/>
        <v>1.4963169107740315E-2</v>
      </c>
      <c r="V63" s="218">
        <f t="shared" ca="1" si="70"/>
        <v>1.2948679213107717E-2</v>
      </c>
    </row>
    <row r="64" spans="2:22">
      <c r="C64" s="209" t="s">
        <v>1</v>
      </c>
      <c r="D64" s="208"/>
      <c r="E64" s="211"/>
      <c r="F64" s="220">
        <f>F62/F$60</f>
        <v>0.10758752793444715</v>
      </c>
      <c r="G64" s="220">
        <f t="shared" ref="G64" si="71">G62/G$60</f>
        <v>0.10936411583242114</v>
      </c>
      <c r="H64" s="220">
        <f>H62/H$60</f>
        <v>0.11218795888399412</v>
      </c>
      <c r="I64" s="220">
        <f t="shared" ref="I64" si="72">I62/I$60</f>
        <v>9.9269406392694062E-2</v>
      </c>
      <c r="J64" s="220">
        <f t="shared" ref="J64:V64" si="73">J62/J$60</f>
        <v>9.6467271606025903E-2</v>
      </c>
      <c r="K64" s="220">
        <f t="shared" si="73"/>
        <v>8.6246267345863353E-2</v>
      </c>
      <c r="L64" s="220">
        <f t="shared" si="73"/>
        <v>8.1921904398916168E-2</v>
      </c>
      <c r="M64" s="220">
        <f t="shared" si="73"/>
        <v>7.4567311576192096E-3</v>
      </c>
      <c r="N64" s="220">
        <f t="shared" si="73"/>
        <v>8.2577669530744205E-2</v>
      </c>
      <c r="O64" s="220">
        <f t="shared" si="73"/>
        <v>8.5968935047082973E-2</v>
      </c>
      <c r="P64" s="220">
        <f t="shared" si="73"/>
        <v>8.8428067672377098E-2</v>
      </c>
      <c r="Q64" s="220">
        <f t="shared" ca="1" si="73"/>
        <v>8.8690056393647562E-2</v>
      </c>
      <c r="R64" s="220">
        <f t="shared" ca="1" si="73"/>
        <v>8.8952045114918027E-2</v>
      </c>
      <c r="S64" s="220">
        <f t="shared" ca="1" si="73"/>
        <v>8.9214033836188505E-2</v>
      </c>
      <c r="T64" s="220">
        <f t="shared" ca="1" si="73"/>
        <v>8.9476022557458998E-2</v>
      </c>
      <c r="U64" s="220">
        <f t="shared" ca="1" si="73"/>
        <v>8.9738011278729504E-2</v>
      </c>
      <c r="V64" s="220">
        <f t="shared" ca="1" si="73"/>
        <v>0.09</v>
      </c>
    </row>
    <row r="65" spans="3:22">
      <c r="C65" s="208" t="s">
        <v>4</v>
      </c>
      <c r="D65" s="208"/>
      <c r="E65" s="211"/>
      <c r="F65" s="219">
        <f>+F68-F62</f>
        <v>-23.299999999999997</v>
      </c>
      <c r="G65" s="219">
        <f t="shared" ref="G65:V65" si="74">+G68-G62</f>
        <v>-25.300000000000011</v>
      </c>
      <c r="H65" s="219">
        <f t="shared" si="74"/>
        <v>-30.099999999999994</v>
      </c>
      <c r="I65" s="219">
        <f t="shared" si="74"/>
        <v>-31.600000000000009</v>
      </c>
      <c r="J65" s="219">
        <f t="shared" si="74"/>
        <v>-34.900000000000006</v>
      </c>
      <c r="K65" s="219">
        <f t="shared" si="74"/>
        <v>-36</v>
      </c>
      <c r="L65" s="219">
        <f t="shared" si="74"/>
        <v>-36.129215400000028</v>
      </c>
      <c r="M65" s="219">
        <f t="shared" si="74"/>
        <v>-40.455293523349013</v>
      </c>
      <c r="N65" s="219">
        <f t="shared" si="74"/>
        <v>-47.195257615808728</v>
      </c>
      <c r="O65" s="219">
        <f t="shared" si="74"/>
        <v>-51.82954358756416</v>
      </c>
      <c r="P65" s="219">
        <f t="shared" si="74"/>
        <v>-54.799912142159201</v>
      </c>
      <c r="Q65" s="219">
        <f t="shared" ca="1" si="74"/>
        <v>-53.583260118466001</v>
      </c>
      <c r="R65" s="219">
        <f t="shared" ca="1" si="74"/>
        <v>-52.366608094772801</v>
      </c>
      <c r="S65" s="219">
        <f t="shared" ca="1" si="74"/>
        <v>-51.1499560710796</v>
      </c>
      <c r="T65" s="219">
        <f t="shared" ca="1" si="74"/>
        <v>-49.9333040473864</v>
      </c>
      <c r="U65" s="219">
        <f t="shared" ca="1" si="74"/>
        <v>-48.7166520236932</v>
      </c>
      <c r="V65" s="219">
        <f t="shared" ca="1" si="74"/>
        <v>-47.5</v>
      </c>
    </row>
    <row r="66" spans="3:22">
      <c r="C66" s="209" t="s">
        <v>84</v>
      </c>
      <c r="D66" s="208"/>
      <c r="E66" s="211"/>
      <c r="F66" s="220">
        <f t="shared" ref="F66:V66" si="75">+F65/F60</f>
        <v>-2.4795147387464082E-2</v>
      </c>
      <c r="G66" s="220">
        <f t="shared" si="75"/>
        <v>-2.5176634490994141E-2</v>
      </c>
      <c r="H66" s="220">
        <f t="shared" si="75"/>
        <v>-2.9466470876162502E-2</v>
      </c>
      <c r="I66" s="220">
        <f t="shared" si="75"/>
        <v>-2.8858447488584484E-2</v>
      </c>
      <c r="J66" s="220">
        <f t="shared" si="75"/>
        <v>-3.0746189763016483E-2</v>
      </c>
      <c r="K66" s="220">
        <f t="shared" si="75"/>
        <v>-3.1617776216406115E-2</v>
      </c>
      <c r="L66" s="220">
        <f t="shared" si="75"/>
        <v>-3.1437725457855774E-2</v>
      </c>
      <c r="M66" s="220">
        <f t="shared" si="75"/>
        <v>-3.6777539566680922E-2</v>
      </c>
      <c r="N66" s="220">
        <f t="shared" si="75"/>
        <v>-3.4860359237571976E-2</v>
      </c>
      <c r="O66" s="220">
        <f t="shared" si="75"/>
        <v>-3.5819227290854523E-2</v>
      </c>
      <c r="P66" s="220">
        <f t="shared" si="75"/>
        <v>-3.7986371391124714E-2</v>
      </c>
      <c r="Q66" s="220">
        <f t="shared" ca="1" si="75"/>
        <v>-3.641471451466733E-2</v>
      </c>
      <c r="R66" s="220">
        <f t="shared" ca="1" si="75"/>
        <v>-3.4958633054813976E-2</v>
      </c>
      <c r="S66" s="220">
        <f t="shared" ca="1" si="75"/>
        <v>-3.360868770104064E-2</v>
      </c>
      <c r="T66" s="220">
        <f t="shared" ca="1" si="75"/>
        <v>-3.2356284025319357E-2</v>
      </c>
      <c r="U66" s="220">
        <f t="shared" ca="1" si="75"/>
        <v>-3.1193582631993021E-2</v>
      </c>
      <c r="V66" s="220">
        <f t="shared" ca="1" si="75"/>
        <v>-3.0113418406678784E-2</v>
      </c>
    </row>
    <row r="67" spans="3:22">
      <c r="C67" s="209" t="s">
        <v>37</v>
      </c>
      <c r="D67" s="208"/>
      <c r="E67" s="211"/>
      <c r="F67" s="220">
        <f t="shared" ref="F67:V67" si="76">+F65/F72</f>
        <v>0.76644736842105254</v>
      </c>
      <c r="G67" s="220">
        <f t="shared" si="76"/>
        <v>0.67466666666666697</v>
      </c>
      <c r="H67" s="220">
        <f t="shared" si="76"/>
        <v>0.74689826302729523</v>
      </c>
      <c r="I67" s="220">
        <f t="shared" si="76"/>
        <v>0.87534626038781183</v>
      </c>
      <c r="J67" s="220">
        <f t="shared" si="76"/>
        <v>0.93565683646112618</v>
      </c>
      <c r="K67" s="220">
        <f t="shared" si="76"/>
        <v>1.1612903225806452</v>
      </c>
      <c r="L67" s="220">
        <f t="shared" si="76"/>
        <v>1.0035893166666674</v>
      </c>
      <c r="M67" s="220">
        <f t="shared" si="76"/>
        <v>0.79324104947743168</v>
      </c>
      <c r="N67" s="220">
        <f t="shared" si="76"/>
        <v>0.94390515231617456</v>
      </c>
      <c r="O67" s="220">
        <f t="shared" si="76"/>
        <v>1.0365908717512833</v>
      </c>
      <c r="P67" s="220">
        <f t="shared" si="76"/>
        <v>1.095998242843184</v>
      </c>
      <c r="Q67" s="220">
        <f t="shared" ca="1" si="76"/>
        <v>1.0716652023693201</v>
      </c>
      <c r="R67" s="220">
        <f t="shared" ca="1" si="76"/>
        <v>1.0473321618954561</v>
      </c>
      <c r="S67" s="220">
        <f t="shared" ca="1" si="76"/>
        <v>1.0229991214215921</v>
      </c>
      <c r="T67" s="220">
        <f t="shared" ca="1" si="76"/>
        <v>0.99866608094772802</v>
      </c>
      <c r="U67" s="220">
        <f t="shared" ca="1" si="76"/>
        <v>0.97433304047386404</v>
      </c>
      <c r="V67" s="220">
        <f t="shared" ca="1" si="76"/>
        <v>0.95</v>
      </c>
    </row>
    <row r="68" spans="3:22">
      <c r="C68" s="212" t="s">
        <v>5</v>
      </c>
      <c r="D68" s="212"/>
      <c r="E68" s="212"/>
      <c r="F68" s="217">
        <f t="shared" ref="F68:V68" si="77">F25</f>
        <v>77.8</v>
      </c>
      <c r="G68" s="217">
        <f t="shared" si="77"/>
        <v>84.6</v>
      </c>
      <c r="H68" s="217">
        <f t="shared" si="77"/>
        <v>84.5</v>
      </c>
      <c r="I68" s="217">
        <f t="shared" si="77"/>
        <v>77.099999999999994</v>
      </c>
      <c r="J68" s="217">
        <f t="shared" si="77"/>
        <v>74.599999999999994</v>
      </c>
      <c r="K68" s="217">
        <f t="shared" si="77"/>
        <v>62.2</v>
      </c>
      <c r="L68" s="217">
        <f t="shared" si="77"/>
        <v>58.017994262938636</v>
      </c>
      <c r="M68" s="217">
        <f t="shared" si="77"/>
        <v>-32.252889249967879</v>
      </c>
      <c r="N68" s="217">
        <f t="shared" si="77"/>
        <v>64.601478621383222</v>
      </c>
      <c r="O68" s="217">
        <f t="shared" si="77"/>
        <v>72.565397431638388</v>
      </c>
      <c r="P68" s="217">
        <f t="shared" si="77"/>
        <v>72.768217212764569</v>
      </c>
      <c r="Q68" s="217">
        <f t="shared" ca="1" si="77"/>
        <v>76.921741087792952</v>
      </c>
      <c r="R68" s="217">
        <f t="shared" ca="1" si="77"/>
        <v>80.879931564191793</v>
      </c>
      <c r="S68" s="217">
        <f t="shared" ca="1" si="77"/>
        <v>84.627255828317345</v>
      </c>
      <c r="T68" s="217">
        <f t="shared" ca="1" si="77"/>
        <v>88.149098610973454</v>
      </c>
      <c r="U68" s="217">
        <f t="shared" ca="1" si="77"/>
        <v>91.431900976446798</v>
      </c>
      <c r="V68" s="217">
        <f t="shared" ca="1" si="77"/>
        <v>94.463291655120031</v>
      </c>
    </row>
    <row r="69" spans="3:22">
      <c r="C69" s="209" t="s">
        <v>0</v>
      </c>
      <c r="D69" s="208"/>
      <c r="E69" s="210"/>
      <c r="F69" s="220" t="str">
        <f t="shared" ref="F69" si="78">IF(ISERROR(F68/C68-1),"n.a.",F68/C68-1)</f>
        <v>n.a.</v>
      </c>
      <c r="G69" s="220">
        <f>IF(ISERROR(G68/F68-1),"n.a.",G68/F68-1)</f>
        <v>8.740359897172234E-2</v>
      </c>
      <c r="H69" s="220">
        <f>IF(ISERROR(H68/G68-1),"n.a.",H68/G68-1)</f>
        <v>-1.1820330969266601E-3</v>
      </c>
      <c r="I69" s="220">
        <f t="shared" ref="I69:V69" si="79">IF(ISERROR(I68/H68-1),"n.a.",I68/H68-1)</f>
        <v>-8.7573964497041468E-2</v>
      </c>
      <c r="J69" s="220">
        <f t="shared" si="79"/>
        <v>-3.2425421530479892E-2</v>
      </c>
      <c r="K69" s="220">
        <f t="shared" si="79"/>
        <v>-0.16621983914209104</v>
      </c>
      <c r="L69" s="220">
        <f t="shared" si="79"/>
        <v>-6.723481892381622E-2</v>
      </c>
      <c r="M69" s="220">
        <f t="shared" si="79"/>
        <v>-1.5559118280407485</v>
      </c>
      <c r="N69" s="220">
        <f t="shared" si="79"/>
        <v>-3.0029671797991728</v>
      </c>
      <c r="O69" s="220">
        <f t="shared" si="79"/>
        <v>0.12327765525198209</v>
      </c>
      <c r="P69" s="220">
        <f t="shared" si="79"/>
        <v>2.7949930449600036E-3</v>
      </c>
      <c r="Q69" s="220">
        <f t="shared" ca="1" si="79"/>
        <v>5.7078818667276598E-2</v>
      </c>
      <c r="R69" s="220">
        <f t="shared" ca="1" si="79"/>
        <v>5.1457369794597474E-2</v>
      </c>
      <c r="S69" s="220">
        <f t="shared" ca="1" si="79"/>
        <v>4.6331941578751534E-2</v>
      </c>
      <c r="T69" s="220">
        <f t="shared" ca="1" si="79"/>
        <v>4.1615939784232614E-2</v>
      </c>
      <c r="U69" s="220">
        <f t="shared" ca="1" si="79"/>
        <v>3.7241474016215026E-2</v>
      </c>
      <c r="V69" s="220">
        <f t="shared" ca="1" si="79"/>
        <v>3.3154628158219346E-2</v>
      </c>
    </row>
    <row r="70" spans="3:22">
      <c r="C70" s="209" t="s">
        <v>1</v>
      </c>
      <c r="D70" s="208"/>
      <c r="E70" s="211"/>
      <c r="F70" s="325">
        <f>F68/F$60</f>
        <v>8.2792380546983069E-2</v>
      </c>
      <c r="G70" s="325">
        <f t="shared" ref="G70" si="80">G68/G$60</f>
        <v>8.4187481341427006E-2</v>
      </c>
      <c r="H70" s="325">
        <f>H68/H$60</f>
        <v>8.272148800783162E-2</v>
      </c>
      <c r="I70" s="325">
        <f t="shared" ref="I70:V70" si="81">I68/I$60</f>
        <v>7.0410958904109588E-2</v>
      </c>
      <c r="J70" s="325">
        <f t="shared" si="81"/>
        <v>6.5721081843009427E-2</v>
      </c>
      <c r="K70" s="325">
        <f t="shared" si="81"/>
        <v>5.4628491129457238E-2</v>
      </c>
      <c r="L70" s="325">
        <f t="shared" si="81"/>
        <v>5.0484178941060394E-2</v>
      </c>
      <c r="M70" s="325">
        <f t="shared" si="81"/>
        <v>-2.9320808409061708E-2</v>
      </c>
      <c r="N70" s="325">
        <f t="shared" si="81"/>
        <v>4.7717310293172235E-2</v>
      </c>
      <c r="O70" s="325">
        <f t="shared" si="81"/>
        <v>5.0149707756228443E-2</v>
      </c>
      <c r="P70" s="325">
        <f t="shared" si="81"/>
        <v>5.0441696281252384E-2</v>
      </c>
      <c r="Q70" s="325">
        <f t="shared" ca="1" si="81"/>
        <v>5.2275341878980225E-2</v>
      </c>
      <c r="R70" s="325">
        <f t="shared" ca="1" si="81"/>
        <v>5.3993412060104044E-2</v>
      </c>
      <c r="S70" s="325">
        <f t="shared" ca="1" si="81"/>
        <v>5.5605346135147865E-2</v>
      </c>
      <c r="T70" s="325">
        <f t="shared" ca="1" si="81"/>
        <v>5.7119738532139641E-2</v>
      </c>
      <c r="U70" s="325">
        <f t="shared" ca="1" si="81"/>
        <v>5.8544428646736479E-2</v>
      </c>
      <c r="V70" s="325">
        <f t="shared" ca="1" si="81"/>
        <v>5.988658159332122E-2</v>
      </c>
    </row>
    <row r="71" spans="3:22">
      <c r="C71" s="208" t="s">
        <v>3</v>
      </c>
      <c r="D71" s="208"/>
      <c r="E71" s="208"/>
      <c r="F71" s="219">
        <f t="shared" ref="F71:V71" si="82">F15</f>
        <v>101.1</v>
      </c>
      <c r="G71" s="219">
        <f t="shared" si="82"/>
        <v>109.9</v>
      </c>
      <c r="H71" s="219">
        <f t="shared" si="82"/>
        <v>114.6</v>
      </c>
      <c r="I71" s="219">
        <f t="shared" si="82"/>
        <v>108.7</v>
      </c>
      <c r="J71" s="219">
        <f t="shared" si="82"/>
        <v>109.5</v>
      </c>
      <c r="K71" s="219">
        <f t="shared" si="82"/>
        <v>98.2</v>
      </c>
      <c r="L71" s="219">
        <f t="shared" si="82"/>
        <v>94.147209662938664</v>
      </c>
      <c r="M71" s="219">
        <f t="shared" si="82"/>
        <v>8.2024042733811307</v>
      </c>
      <c r="N71" s="219">
        <f t="shared" si="82"/>
        <v>111.79673623719195</v>
      </c>
      <c r="O71" s="219">
        <f t="shared" si="82"/>
        <v>124.39494101920255</v>
      </c>
      <c r="P71" s="219">
        <f t="shared" si="82"/>
        <v>127.56812935492377</v>
      </c>
      <c r="Q71" s="219">
        <f t="shared" ca="1" si="82"/>
        <v>130.50500120625895</v>
      </c>
      <c r="R71" s="219">
        <f t="shared" ca="1" si="82"/>
        <v>133.24653965896459</v>
      </c>
      <c r="S71" s="219">
        <f t="shared" ca="1" si="82"/>
        <v>135.77721189939695</v>
      </c>
      <c r="T71" s="219">
        <f t="shared" ca="1" si="82"/>
        <v>138.08240265835985</v>
      </c>
      <c r="U71" s="219">
        <f t="shared" ca="1" si="82"/>
        <v>140.14855300014</v>
      </c>
      <c r="V71" s="219">
        <f t="shared" ca="1" si="82"/>
        <v>141.96329165512003</v>
      </c>
    </row>
    <row r="72" spans="3:22">
      <c r="C72" s="212" t="s">
        <v>7</v>
      </c>
      <c r="D72" s="212"/>
      <c r="E72" s="213"/>
      <c r="F72" s="217">
        <f t="shared" ref="F72:V72" si="83">F40</f>
        <v>-30.4</v>
      </c>
      <c r="G72" s="217">
        <f t="shared" si="83"/>
        <v>-37.5</v>
      </c>
      <c r="H72" s="217">
        <f t="shared" si="83"/>
        <v>-40.299999999999997</v>
      </c>
      <c r="I72" s="217">
        <f t="shared" si="83"/>
        <v>-36.1</v>
      </c>
      <c r="J72" s="217">
        <f t="shared" si="83"/>
        <v>-37.299999999999997</v>
      </c>
      <c r="K72" s="217">
        <f t="shared" si="83"/>
        <v>-31</v>
      </c>
      <c r="L72" s="217">
        <f t="shared" si="83"/>
        <v>-36</v>
      </c>
      <c r="M72" s="217">
        <f t="shared" si="83"/>
        <v>-51</v>
      </c>
      <c r="N72" s="217">
        <f t="shared" si="83"/>
        <v>-50</v>
      </c>
      <c r="O72" s="217">
        <f t="shared" si="83"/>
        <v>-50</v>
      </c>
      <c r="P72" s="217">
        <f t="shared" si="83"/>
        <v>-50</v>
      </c>
      <c r="Q72" s="217">
        <f t="shared" si="83"/>
        <v>-50</v>
      </c>
      <c r="R72" s="217">
        <f t="shared" si="83"/>
        <v>-50</v>
      </c>
      <c r="S72" s="217">
        <f t="shared" si="83"/>
        <v>-50</v>
      </c>
      <c r="T72" s="217">
        <f t="shared" si="83"/>
        <v>-50</v>
      </c>
      <c r="U72" s="217">
        <f t="shared" si="83"/>
        <v>-50</v>
      </c>
      <c r="V72" s="217">
        <f t="shared" si="83"/>
        <v>-50</v>
      </c>
    </row>
    <row r="73" spans="3:22">
      <c r="C73" s="209" t="s">
        <v>135</v>
      </c>
      <c r="D73" s="208"/>
      <c r="E73" s="210"/>
      <c r="F73" s="218">
        <f>IF(ISERROR(-F72/F$60),"n.a.",-F72/F$60)</f>
        <v>3.2350750239438113E-2</v>
      </c>
      <c r="G73" s="218">
        <f t="shared" ref="G73:V73" si="84">IF(ISERROR(-G72/G$60),"n.a.",-G72/G$60)</f>
        <v>3.7317145984675094E-2</v>
      </c>
      <c r="H73" s="218">
        <f t="shared" si="84"/>
        <v>3.9451786588350461E-2</v>
      </c>
      <c r="I73" s="218">
        <f t="shared" si="84"/>
        <v>3.2968036529680368E-2</v>
      </c>
      <c r="J73" s="218">
        <f t="shared" si="84"/>
        <v>3.2860540921504713E-2</v>
      </c>
      <c r="K73" s="218">
        <f t="shared" si="84"/>
        <v>2.7226418408571932E-2</v>
      </c>
      <c r="L73" s="218">
        <f t="shared" si="84"/>
        <v>3.1325289075688233E-2</v>
      </c>
      <c r="M73" s="218">
        <f t="shared" si="84"/>
        <v>4.6363636363636364E-2</v>
      </c>
      <c r="N73" s="218">
        <f t="shared" si="84"/>
        <v>3.6932057370415751E-2</v>
      </c>
      <c r="O73" s="218">
        <f t="shared" si="84"/>
        <v>3.4554835728332456E-2</v>
      </c>
      <c r="P73" s="218">
        <f t="shared" si="84"/>
        <v>3.4659153551726836E-2</v>
      </c>
      <c r="Q73" s="218">
        <f t="shared" si="84"/>
        <v>3.3979562305614552E-2</v>
      </c>
      <c r="R73" s="218">
        <f t="shared" ca="1" si="84"/>
        <v>3.3378744897460261E-2</v>
      </c>
      <c r="S73" s="218">
        <f t="shared" ca="1" si="84"/>
        <v>3.2853095371516004E-2</v>
      </c>
      <c r="T73" s="218">
        <f t="shared" ca="1" si="84"/>
        <v>3.239950233877318E-2</v>
      </c>
      <c r="U73" s="218">
        <f t="shared" ca="1" si="84"/>
        <v>3.2015318516574284E-2</v>
      </c>
      <c r="V73" s="218">
        <f t="shared" ca="1" si="84"/>
        <v>3.1698335164925033E-2</v>
      </c>
    </row>
    <row r="74" spans="3:22">
      <c r="C74" s="208" t="s">
        <v>75</v>
      </c>
      <c r="D74" s="208"/>
      <c r="E74" s="210"/>
      <c r="F74" s="219">
        <f t="shared" ref="F74:V74" si="85">F45</f>
        <v>-5.3000000000000007</v>
      </c>
      <c r="G74" s="219">
        <f t="shared" si="85"/>
        <v>25.099999999999998</v>
      </c>
      <c r="H74" s="219">
        <f t="shared" si="85"/>
        <v>-11.2</v>
      </c>
      <c r="I74" s="219">
        <f t="shared" si="85"/>
        <v>-16.300000000000004</v>
      </c>
      <c r="J74" s="219">
        <f t="shared" si="85"/>
        <v>-12.6</v>
      </c>
      <c r="K74" s="219">
        <f t="shared" si="85"/>
        <v>-10.399999999999999</v>
      </c>
      <c r="L74" s="219">
        <f t="shared" si="85"/>
        <v>6</v>
      </c>
      <c r="M74" s="219">
        <f t="shared" si="85"/>
        <v>16.111954440903407</v>
      </c>
      <c r="N74" s="219">
        <f t="shared" si="85"/>
        <v>15.168892666804709</v>
      </c>
      <c r="O74" s="219">
        <f t="shared" si="85"/>
        <v>11.110216900668604</v>
      </c>
      <c r="P74" s="219">
        <f t="shared" si="85"/>
        <v>3.9548595532390358</v>
      </c>
      <c r="Q74" s="219">
        <f t="shared" si="85"/>
        <v>0</v>
      </c>
      <c r="R74" s="219">
        <f t="shared" ca="1" si="85"/>
        <v>0</v>
      </c>
      <c r="S74" s="219">
        <f t="shared" ca="1" si="85"/>
        <v>0</v>
      </c>
      <c r="T74" s="219">
        <f t="shared" ca="1" si="85"/>
        <v>0</v>
      </c>
      <c r="U74" s="219">
        <f t="shared" ca="1" si="85"/>
        <v>0</v>
      </c>
      <c r="V74" s="219">
        <f t="shared" ca="1" si="85"/>
        <v>0</v>
      </c>
    </row>
    <row r="75" spans="3:22">
      <c r="C75" s="209" t="s">
        <v>135</v>
      </c>
      <c r="D75" s="208"/>
      <c r="E75" s="210"/>
      <c r="F75" s="220">
        <f t="shared" ref="F75:V75" si="86">+F74/F60</f>
        <v>-5.6400979035862511E-3</v>
      </c>
      <c r="G75" s="220">
        <f t="shared" si="86"/>
        <v>2.4977609712409192E-2</v>
      </c>
      <c r="H75" s="220">
        <f t="shared" si="86"/>
        <v>-1.0964268232990699E-2</v>
      </c>
      <c r="I75" s="220">
        <f t="shared" si="86"/>
        <v>-1.4885844748858451E-2</v>
      </c>
      <c r="J75" s="220">
        <f t="shared" si="86"/>
        <v>-1.1100343582063256E-2</v>
      </c>
      <c r="K75" s="220">
        <f t="shared" si="86"/>
        <v>-9.1340242402950991E-3</v>
      </c>
      <c r="L75" s="220">
        <f t="shared" si="86"/>
        <v>5.2208815126147052E-3</v>
      </c>
      <c r="M75" s="220">
        <f t="shared" si="86"/>
        <v>1.4647231309912188E-2</v>
      </c>
      <c r="N75" s="220">
        <f t="shared" si="86"/>
        <v>1.1204368284322206E-2</v>
      </c>
      <c r="O75" s="220">
        <f t="shared" si="86"/>
        <v>7.6782343981749305E-3</v>
      </c>
      <c r="P75" s="220">
        <f t="shared" si="86"/>
        <v>2.741441690624511E-3</v>
      </c>
      <c r="Q75" s="220">
        <f t="shared" si="86"/>
        <v>0</v>
      </c>
      <c r="R75" s="220">
        <f t="shared" ca="1" si="86"/>
        <v>0</v>
      </c>
      <c r="S75" s="220">
        <f t="shared" ca="1" si="86"/>
        <v>0</v>
      </c>
      <c r="T75" s="220">
        <f t="shared" ca="1" si="86"/>
        <v>0</v>
      </c>
      <c r="U75" s="220">
        <f t="shared" ca="1" si="86"/>
        <v>0</v>
      </c>
      <c r="V75" s="220">
        <f t="shared" ca="1" si="86"/>
        <v>0</v>
      </c>
    </row>
    <row r="76" spans="3:22">
      <c r="C76" s="319" t="s">
        <v>130</v>
      </c>
      <c r="D76" s="208"/>
      <c r="E76" s="210"/>
      <c r="F76" s="219">
        <f t="shared" ref="F76:V76" si="87">+F49</f>
        <v>0</v>
      </c>
      <c r="G76" s="219">
        <f t="shared" si="87"/>
        <v>0</v>
      </c>
      <c r="H76" s="219">
        <f t="shared" si="87"/>
        <v>0</v>
      </c>
      <c r="I76" s="219">
        <f t="shared" si="87"/>
        <v>0</v>
      </c>
      <c r="J76" s="219">
        <f t="shared" si="87"/>
        <v>-1.5</v>
      </c>
      <c r="K76" s="219">
        <f t="shared" si="87"/>
        <v>0.74</v>
      </c>
      <c r="L76" s="219">
        <f t="shared" si="87"/>
        <v>0</v>
      </c>
      <c r="M76" s="219">
        <f t="shared" si="87"/>
        <v>0</v>
      </c>
      <c r="N76" s="219">
        <f t="shared" si="87"/>
        <v>-5</v>
      </c>
      <c r="O76" s="219">
        <f t="shared" si="87"/>
        <v>-5</v>
      </c>
      <c r="P76" s="219">
        <f t="shared" si="87"/>
        <v>-5</v>
      </c>
      <c r="Q76" s="219">
        <f t="shared" si="87"/>
        <v>-5</v>
      </c>
      <c r="R76" s="219">
        <f t="shared" si="87"/>
        <v>-5</v>
      </c>
      <c r="S76" s="219">
        <f t="shared" si="87"/>
        <v>-5</v>
      </c>
      <c r="T76" s="219">
        <f t="shared" si="87"/>
        <v>-5</v>
      </c>
      <c r="U76" s="219">
        <f t="shared" si="87"/>
        <v>-5</v>
      </c>
      <c r="V76" s="219">
        <f t="shared" si="87"/>
        <v>-5</v>
      </c>
    </row>
    <row r="77" spans="3:22">
      <c r="C77" s="209" t="s">
        <v>135</v>
      </c>
      <c r="D77" s="208"/>
      <c r="E77" s="210"/>
      <c r="F77" s="218">
        <f>IF(ISERROR(-F76/F$60),"n.a.",-F76/F$60)</f>
        <v>0</v>
      </c>
      <c r="G77" s="218">
        <f t="shared" ref="G77:V77" si="88">IF(ISERROR(-G76/G$60),"n.a.",-G76/G$60)</f>
        <v>0</v>
      </c>
      <c r="H77" s="218">
        <f t="shared" si="88"/>
        <v>0</v>
      </c>
      <c r="I77" s="218">
        <f t="shared" si="88"/>
        <v>0</v>
      </c>
      <c r="J77" s="218">
        <f t="shared" si="88"/>
        <v>1.3214694740551493E-3</v>
      </c>
      <c r="K77" s="218">
        <f t="shared" si="88"/>
        <v>-6.4992095555945904E-4</v>
      </c>
      <c r="L77" s="218">
        <f t="shared" si="88"/>
        <v>0</v>
      </c>
      <c r="M77" s="218">
        <f t="shared" si="88"/>
        <v>0</v>
      </c>
      <c r="N77" s="218">
        <f t="shared" si="88"/>
        <v>3.6932057370415751E-3</v>
      </c>
      <c r="O77" s="218">
        <f t="shared" si="88"/>
        <v>3.4554835728332453E-3</v>
      </c>
      <c r="P77" s="218">
        <f t="shared" si="88"/>
        <v>3.4659153551726838E-3</v>
      </c>
      <c r="Q77" s="218">
        <f t="shared" si="88"/>
        <v>3.3979562305614551E-3</v>
      </c>
      <c r="R77" s="218">
        <f t="shared" ca="1" si="88"/>
        <v>3.3378744897460265E-3</v>
      </c>
      <c r="S77" s="218">
        <f t="shared" ca="1" si="88"/>
        <v>3.2853095371516007E-3</v>
      </c>
      <c r="T77" s="218">
        <f t="shared" ca="1" si="88"/>
        <v>3.2399502338773178E-3</v>
      </c>
      <c r="U77" s="218">
        <f t="shared" ca="1" si="88"/>
        <v>3.2015318516574287E-3</v>
      </c>
      <c r="V77" s="218">
        <f t="shared" ca="1" si="88"/>
        <v>3.1698335164925037E-3</v>
      </c>
    </row>
    <row r="78" spans="3:22">
      <c r="C78" s="319" t="s">
        <v>131</v>
      </c>
      <c r="D78" s="208"/>
      <c r="E78" s="210"/>
      <c r="F78" s="219">
        <f t="shared" ref="F78:V78" si="89">+F53</f>
        <v>0</v>
      </c>
      <c r="G78" s="219">
        <f t="shared" si="89"/>
        <v>0</v>
      </c>
      <c r="H78" s="219">
        <f t="shared" si="89"/>
        <v>0</v>
      </c>
      <c r="I78" s="219">
        <f t="shared" si="89"/>
        <v>0</v>
      </c>
      <c r="J78" s="219">
        <f t="shared" si="89"/>
        <v>0</v>
      </c>
      <c r="K78" s="219">
        <f t="shared" si="89"/>
        <v>0</v>
      </c>
      <c r="L78" s="219">
        <f t="shared" si="89"/>
        <v>0</v>
      </c>
      <c r="M78" s="219">
        <f t="shared" si="89"/>
        <v>-18.004468664734777</v>
      </c>
      <c r="N78" s="219">
        <f t="shared" si="89"/>
        <v>-6.7527180429793674</v>
      </c>
      <c r="O78" s="219">
        <f t="shared" si="89"/>
        <v>25.138454026318882</v>
      </c>
      <c r="P78" s="219">
        <f t="shared" si="89"/>
        <v>-4.8650405710493061</v>
      </c>
      <c r="Q78" s="219">
        <f t="shared" si="89"/>
        <v>0</v>
      </c>
      <c r="R78" s="219">
        <f t="shared" si="89"/>
        <v>0</v>
      </c>
      <c r="S78" s="219">
        <f t="shared" si="89"/>
        <v>0</v>
      </c>
      <c r="T78" s="219">
        <f t="shared" si="89"/>
        <v>0</v>
      </c>
      <c r="U78" s="219">
        <f t="shared" si="89"/>
        <v>0</v>
      </c>
      <c r="V78" s="219">
        <f t="shared" si="89"/>
        <v>0</v>
      </c>
    </row>
    <row r="79" spans="3:22">
      <c r="C79" s="327" t="s">
        <v>135</v>
      </c>
      <c r="D79" s="328"/>
      <c r="E79" s="329"/>
      <c r="F79" s="330">
        <f>IF(ISERROR(-F78/F$60),"n.a.",-F78/F$60)</f>
        <v>0</v>
      </c>
      <c r="G79" s="330">
        <f t="shared" ref="G79:V79" si="90">IF(ISERROR(-G78/G$60),"n.a.",-G78/G$60)</f>
        <v>0</v>
      </c>
      <c r="H79" s="330">
        <f t="shared" si="90"/>
        <v>0</v>
      </c>
      <c r="I79" s="330">
        <f t="shared" si="90"/>
        <v>0</v>
      </c>
      <c r="J79" s="330">
        <f t="shared" si="90"/>
        <v>0</v>
      </c>
      <c r="K79" s="330">
        <f t="shared" si="90"/>
        <v>0</v>
      </c>
      <c r="L79" s="330">
        <f t="shared" si="90"/>
        <v>0</v>
      </c>
      <c r="M79" s="330">
        <f t="shared" si="90"/>
        <v>1.6367698786122525E-2</v>
      </c>
      <c r="N79" s="330">
        <f t="shared" si="90"/>
        <v>4.9878354033911108E-3</v>
      </c>
      <c r="O79" s="330">
        <f t="shared" si="90"/>
        <v>-1.737310298687373E-2</v>
      </c>
      <c r="P79" s="330">
        <f t="shared" si="90"/>
        <v>3.3723637637475745E-3</v>
      </c>
      <c r="Q79" s="330">
        <f t="shared" si="90"/>
        <v>0</v>
      </c>
      <c r="R79" s="330">
        <f t="shared" ca="1" si="90"/>
        <v>0</v>
      </c>
      <c r="S79" s="330">
        <f t="shared" ca="1" si="90"/>
        <v>0</v>
      </c>
      <c r="T79" s="330">
        <f t="shared" ca="1" si="90"/>
        <v>0</v>
      </c>
      <c r="U79" s="330">
        <f t="shared" ca="1" si="90"/>
        <v>0</v>
      </c>
      <c r="V79" s="330">
        <f t="shared" ca="1" si="90"/>
        <v>0</v>
      </c>
    </row>
    <row r="80" spans="3:22" ht="4.5" customHeight="1">
      <c r="C80" s="40"/>
      <c r="E80" s="105"/>
      <c r="F80" s="105"/>
      <c r="G80" s="105"/>
      <c r="H80" s="105"/>
      <c r="I80" s="105"/>
      <c r="J80" s="105"/>
      <c r="K80" s="105"/>
      <c r="L80" s="105"/>
      <c r="M80" s="105"/>
      <c r="N80" s="105"/>
    </row>
    <row r="85" spans="12:12">
      <c r="L85" s="221"/>
    </row>
    <row r="92" spans="12:12">
      <c r="L92" s="221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A6" zoomScaleNormal="100" zoomScaleSheetLayoutView="100" workbookViewId="0">
      <selection activeCell="D33" sqref="D33"/>
    </sheetView>
  </sheetViews>
  <sheetFormatPr defaultColWidth="9.140625" defaultRowHeight="12.75"/>
  <cols>
    <col min="1" max="1" width="3" customWidth="1"/>
    <col min="2" max="3" width="0.42578125" customWidth="1"/>
    <col min="4" max="4" width="11.28515625" customWidth="1"/>
    <col min="5" max="20" width="14.28515625" customWidth="1"/>
    <col min="21" max="21" width="2.85546875" customWidth="1"/>
  </cols>
  <sheetData>
    <row r="2" spans="4:21" s="7" customFormat="1" ht="12" customHeight="1">
      <c r="D2" s="35"/>
    </row>
    <row r="3" spans="4:21" ht="20.25">
      <c r="D3" s="152" t="s">
        <v>29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4:21" s="7" customFormat="1" ht="4.5" customHeight="1"/>
    <row r="5" spans="4:21">
      <c r="D5" s="47" t="s">
        <v>30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4:21" ht="4.5" customHeight="1"/>
    <row r="7" spans="4:21" ht="12.75" customHeight="1">
      <c r="D7" t="s">
        <v>9</v>
      </c>
      <c r="F7" s="114">
        <f>Assumptions!D12</f>
        <v>43921</v>
      </c>
      <c r="S7" s="315"/>
      <c r="T7" s="315"/>
    </row>
    <row r="8" spans="4:21" ht="12.75" customHeight="1">
      <c r="D8" t="s">
        <v>31</v>
      </c>
      <c r="F8" s="115">
        <f>EDATE(F7,12)</f>
        <v>44286</v>
      </c>
      <c r="S8" s="315"/>
      <c r="T8" s="315"/>
    </row>
    <row r="9" spans="4:21" ht="12.75" customHeight="1">
      <c r="D9" t="s">
        <v>32</v>
      </c>
      <c r="F9" s="116">
        <v>5.0000000000000001E-3</v>
      </c>
      <c r="S9" s="315"/>
      <c r="T9" s="315"/>
    </row>
    <row r="10" spans="4:21" ht="12.75" customHeight="1">
      <c r="D10" t="s">
        <v>33</v>
      </c>
      <c r="F10" s="120">
        <v>8.5</v>
      </c>
      <c r="S10" s="315"/>
      <c r="T10" s="315"/>
    </row>
    <row r="11" spans="4:21" ht="12.75" customHeight="1">
      <c r="D11" t="s">
        <v>34</v>
      </c>
      <c r="F11" s="116">
        <v>8.5000000000000006E-2</v>
      </c>
    </row>
    <row r="12" spans="4:21" ht="12.75" customHeight="1">
      <c r="F12" s="53"/>
    </row>
    <row r="13" spans="4:21" ht="12.75" customHeight="1"/>
    <row r="14" spans="4:21" ht="12.75" customHeight="1">
      <c r="D14" s="43" t="s">
        <v>36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4:21" ht="4.5" customHeight="1"/>
    <row r="16" spans="4:21" s="29" customFormat="1"/>
    <row r="17" spans="3:21" s="29" customFormat="1">
      <c r="C17" s="29" t="s">
        <v>63</v>
      </c>
      <c r="G17" s="129">
        <f>G22-$F$7</f>
        <v>-731</v>
      </c>
      <c r="H17" s="129">
        <f t="shared" ref="H17:R17" si="0">H22-$F$7</f>
        <v>-366</v>
      </c>
      <c r="I17" s="129">
        <f t="shared" si="0"/>
        <v>0</v>
      </c>
      <c r="J17" s="129">
        <f t="shared" si="0"/>
        <v>365</v>
      </c>
      <c r="K17" s="129">
        <f t="shared" si="0"/>
        <v>730</v>
      </c>
      <c r="L17" s="129">
        <f t="shared" si="0"/>
        <v>1095</v>
      </c>
      <c r="M17" s="129">
        <f t="shared" si="0"/>
        <v>1461</v>
      </c>
      <c r="N17" s="129">
        <f t="shared" si="0"/>
        <v>1826</v>
      </c>
      <c r="O17" s="129">
        <f t="shared" si="0"/>
        <v>2191</v>
      </c>
      <c r="P17" s="129">
        <f t="shared" si="0"/>
        <v>2556</v>
      </c>
      <c r="Q17" s="129">
        <f t="shared" si="0"/>
        <v>2922</v>
      </c>
      <c r="R17" s="129">
        <f t="shared" si="0"/>
        <v>3287</v>
      </c>
      <c r="S17" s="129">
        <f t="shared" ref="S17" si="1">S22-$F$7</f>
        <v>3652</v>
      </c>
      <c r="T17" s="129"/>
      <c r="U17" s="108"/>
    </row>
    <row r="18" spans="3:21" s="29" customFormat="1">
      <c r="C18" s="29" t="s">
        <v>70</v>
      </c>
      <c r="G18" s="108">
        <f>IF(G17&lt;0,100%,IF(G17&gt;365.25,0,1-((G22-$F$7)/365.25)))</f>
        <v>1</v>
      </c>
      <c r="H18" s="108">
        <f t="shared" ref="H18:R18" si="2">IF(H17&lt;0,100%,IF(H17&gt;365.25,0,1-((H22-$F$7)/365.25)))</f>
        <v>1</v>
      </c>
      <c r="I18" s="108">
        <f t="shared" si="2"/>
        <v>1</v>
      </c>
      <c r="J18" s="320">
        <f t="shared" si="2"/>
        <v>6.8446269678301697E-4</v>
      </c>
      <c r="K18" s="108">
        <f t="shared" si="2"/>
        <v>0</v>
      </c>
      <c r="L18" s="108">
        <f t="shared" si="2"/>
        <v>0</v>
      </c>
      <c r="M18" s="108">
        <f t="shared" si="2"/>
        <v>0</v>
      </c>
      <c r="N18" s="108">
        <f t="shared" si="2"/>
        <v>0</v>
      </c>
      <c r="O18" s="108">
        <f t="shared" si="2"/>
        <v>0</v>
      </c>
      <c r="P18" s="108">
        <f t="shared" si="2"/>
        <v>0</v>
      </c>
      <c r="Q18" s="108">
        <f t="shared" si="2"/>
        <v>0</v>
      </c>
      <c r="R18" s="108">
        <f t="shared" si="2"/>
        <v>0</v>
      </c>
      <c r="S18" s="108">
        <f t="shared" ref="S18" si="3">IF(S17&lt;0,100%,IF(S17&gt;365.25,0,1-((S22-$F$7)/365.25)))</f>
        <v>0</v>
      </c>
      <c r="T18" s="108"/>
      <c r="U18" s="108"/>
    </row>
    <row r="19" spans="3:21" s="29" customFormat="1"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</row>
    <row r="20" spans="3:21">
      <c r="D20" s="7"/>
      <c r="F20" s="254" t="s">
        <v>76</v>
      </c>
      <c r="G20" s="254"/>
      <c r="H20" s="254"/>
      <c r="I20" s="103" t="s">
        <v>19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89"/>
    </row>
    <row r="21" spans="3:21" ht="4.5" customHeight="1"/>
    <row r="22" spans="3:21" ht="12.75" customHeight="1">
      <c r="D22" s="37" t="str">
        <f>TEXT(Assumptions!$D$11,"mmmm")&amp;" YE ($mm)"</f>
        <v>March YE ($mm)</v>
      </c>
      <c r="E22" s="37"/>
      <c r="F22" s="44">
        <f>' Financials'!I58</f>
        <v>42825</v>
      </c>
      <c r="G22" s="44">
        <f>' Financials'!J58</f>
        <v>43190</v>
      </c>
      <c r="H22" s="260">
        <f>' Financials'!K58</f>
        <v>43555</v>
      </c>
      <c r="I22" s="38">
        <f>' Financials'!L58</f>
        <v>43921</v>
      </c>
      <c r="J22" s="38">
        <f>' Financials'!M58</f>
        <v>44286</v>
      </c>
      <c r="K22" s="38">
        <f>' Financials'!N58</f>
        <v>44651</v>
      </c>
      <c r="L22" s="38">
        <f>' Financials'!O58</f>
        <v>45016</v>
      </c>
      <c r="M22" s="38">
        <f>' Financials'!P58</f>
        <v>45382</v>
      </c>
      <c r="N22" s="38">
        <f>' Financials'!Q58</f>
        <v>45747</v>
      </c>
      <c r="O22" s="38">
        <f>' Financials'!R58</f>
        <v>46112</v>
      </c>
      <c r="P22" s="38">
        <f>' Financials'!S58</f>
        <v>46477</v>
      </c>
      <c r="Q22" s="38">
        <f>' Financials'!T58</f>
        <v>46843</v>
      </c>
      <c r="R22" s="38">
        <f>' Financials'!U58</f>
        <v>47208</v>
      </c>
      <c r="S22" s="38">
        <f>' Financials'!V58</f>
        <v>47573</v>
      </c>
      <c r="T22" s="38"/>
      <c r="U22" s="13"/>
    </row>
    <row r="23" spans="3:21" s="54" customFormat="1">
      <c r="C23"/>
      <c r="D23"/>
      <c r="E23"/>
      <c r="F23"/>
      <c r="G23"/>
      <c r="H23" s="73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136">
        <f>' Financials'!I60</f>
        <v>1095</v>
      </c>
      <c r="G24" s="136">
        <f>' Financials'!J60</f>
        <v>1135.0999999999999</v>
      </c>
      <c r="H24" s="255">
        <f>' Financials'!K60</f>
        <v>1138.5999999999999</v>
      </c>
      <c r="I24" s="136">
        <f>' Financials'!L60</f>
        <v>1149.2312142121568</v>
      </c>
      <c r="J24" s="136">
        <f>' Financials'!M60</f>
        <v>1100</v>
      </c>
      <c r="K24" s="136">
        <f>' Financials'!N60</f>
        <v>1353.8373857301615</v>
      </c>
      <c r="L24" s="136">
        <f>' Financials'!O60</f>
        <v>1446.9754795854415</v>
      </c>
      <c r="M24" s="136">
        <f>' Financials'!P60</f>
        <v>1442.6203434361953</v>
      </c>
      <c r="N24" s="136">
        <f>' Financials'!Q60</f>
        <v>1471.4727503049191</v>
      </c>
      <c r="O24" s="136">
        <f ca="1">' Financials'!R60</f>
        <v>1497.9592598104077</v>
      </c>
      <c r="P24" s="136">
        <f ca="1">' Financials'!S60</f>
        <v>1521.9266079673744</v>
      </c>
      <c r="Q24" s="136">
        <f ca="1">' Financials'!T60</f>
        <v>1543.2335804789177</v>
      </c>
      <c r="R24" s="136">
        <f ca="1">' Financials'!U60</f>
        <v>1561.7523834446647</v>
      </c>
      <c r="S24" s="136">
        <f ca="1">' Financials'!V60</f>
        <v>1577.3699072791114</v>
      </c>
      <c r="T24" s="136"/>
    </row>
    <row r="25" spans="3:21">
      <c r="C25" s="54"/>
      <c r="D25" s="54" t="s">
        <v>0</v>
      </c>
      <c r="E25" s="54"/>
      <c r="F25" s="54"/>
      <c r="G25" s="264">
        <f t="shared" ref="G25:H25" si="4">IF(ISERROR(G24/F24-1),"n.a.",(G24/F24-1))</f>
        <v>3.6621004566209869E-2</v>
      </c>
      <c r="H25" s="265">
        <f t="shared" si="4"/>
        <v>3.0834287727954379E-3</v>
      </c>
      <c r="I25" s="55">
        <f>IF(ISERROR(I24/G24-1),"n.a.",(I24/G24-1))</f>
        <v>1.2449312141799673E-2</v>
      </c>
      <c r="J25" s="55">
        <f t="shared" ref="J25:S25" si="5">IF(ISERROR(J24/I24-1),"n.a.",(J24/I24-1))</f>
        <v>-4.2838389353970663E-2</v>
      </c>
      <c r="K25" s="55">
        <f t="shared" si="5"/>
        <v>0.23076125975469219</v>
      </c>
      <c r="L25" s="55">
        <f t="shared" si="5"/>
        <v>6.879562851268739E-2</v>
      </c>
      <c r="M25" s="55">
        <f t="shared" si="5"/>
        <v>-3.0098202842344657E-3</v>
      </c>
      <c r="N25" s="55">
        <f t="shared" si="5"/>
        <v>2.0000000000000018E-2</v>
      </c>
      <c r="O25" s="55">
        <f t="shared" ca="1" si="5"/>
        <v>1.8000000000000016E-2</v>
      </c>
      <c r="P25" s="55">
        <f t="shared" ca="1" si="5"/>
        <v>1.6000000000000014E-2</v>
      </c>
      <c r="Q25" s="55">
        <f t="shared" ca="1" si="5"/>
        <v>1.4000000000000012E-2</v>
      </c>
      <c r="R25" s="55">
        <f t="shared" ca="1" si="5"/>
        <v>1.2000000000000011E-2</v>
      </c>
      <c r="S25" s="55">
        <f t="shared" ca="1" si="5"/>
        <v>1.0000000000000009E-2</v>
      </c>
      <c r="T25" s="55"/>
    </row>
    <row r="26" spans="3:21" s="54" customFormat="1">
      <c r="C26"/>
      <c r="D26"/>
      <c r="E26"/>
      <c r="F26"/>
      <c r="G26"/>
      <c r="H26" s="73"/>
      <c r="I26"/>
      <c r="J26"/>
      <c r="K26"/>
      <c r="L26"/>
      <c r="M26"/>
      <c r="N26"/>
      <c r="O26"/>
      <c r="P26"/>
      <c r="Q26"/>
      <c r="R26"/>
      <c r="S26"/>
      <c r="T26"/>
    </row>
    <row r="27" spans="3:21" s="54" customFormat="1">
      <c r="C27"/>
      <c r="D27" t="s">
        <v>3</v>
      </c>
      <c r="E27"/>
      <c r="F27" s="136">
        <f>+' Financials'!I62</f>
        <v>108.7</v>
      </c>
      <c r="G27" s="136">
        <f>+' Financials'!J62</f>
        <v>109.5</v>
      </c>
      <c r="H27" s="255">
        <f>+' Financials'!K62</f>
        <v>98.2</v>
      </c>
      <c r="I27" s="136">
        <f>+' Financials'!L62</f>
        <v>94.147209662938664</v>
      </c>
      <c r="J27" s="136">
        <f>+' Financials'!M62</f>
        <v>8.2024042733811307</v>
      </c>
      <c r="K27" s="136">
        <f>+' Financials'!N62</f>
        <v>111.79673623719195</v>
      </c>
      <c r="L27" s="136">
        <f>+' Financials'!O62</f>
        <v>124.39494101920255</v>
      </c>
      <c r="M27" s="136">
        <f>+' Financials'!P62</f>
        <v>127.56812935492377</v>
      </c>
      <c r="N27" s="136">
        <f ca="1">+' Financials'!Q62</f>
        <v>130.50500120625895</v>
      </c>
      <c r="O27" s="136">
        <f ca="1">+' Financials'!R62</f>
        <v>133.24653965896459</v>
      </c>
      <c r="P27" s="136">
        <f ca="1">+' Financials'!S62</f>
        <v>135.77721189939695</v>
      </c>
      <c r="Q27" s="136">
        <f ca="1">+' Financials'!T62</f>
        <v>138.08240265835985</v>
      </c>
      <c r="R27" s="136">
        <f ca="1">+' Financials'!U62</f>
        <v>140.14855300014</v>
      </c>
      <c r="S27" s="136">
        <f ca="1">+' Financials'!V62</f>
        <v>141.96329165512003</v>
      </c>
      <c r="T27" s="136"/>
    </row>
    <row r="28" spans="3:21">
      <c r="C28" s="54"/>
      <c r="D28" s="54" t="s">
        <v>1</v>
      </c>
      <c r="E28" s="54"/>
      <c r="F28" s="55">
        <f t="shared" ref="F28:G28" si="6">IF(ISERROR(F27/F$24),"n.a.",(F27/F$24))</f>
        <v>9.9269406392694062E-2</v>
      </c>
      <c r="G28" s="55">
        <f t="shared" si="6"/>
        <v>9.6467271606025903E-2</v>
      </c>
      <c r="H28" s="74">
        <f t="shared" ref="H28" si="7">IF(ISERROR(H27/H$24),"n.a.",(H27/H$24))</f>
        <v>8.6246267345863353E-2</v>
      </c>
      <c r="I28" s="55">
        <f t="shared" ref="I28:R28" si="8">IF(ISERROR(I27/I$24),"n.a.",(I27/I$24))</f>
        <v>8.1921904398916168E-2</v>
      </c>
      <c r="J28" s="55">
        <f t="shared" si="8"/>
        <v>7.4567311576192096E-3</v>
      </c>
      <c r="K28" s="55">
        <f t="shared" si="8"/>
        <v>8.2577669530744205E-2</v>
      </c>
      <c r="L28" s="55">
        <f t="shared" si="8"/>
        <v>8.5968935047082973E-2</v>
      </c>
      <c r="M28" s="55">
        <f t="shared" si="8"/>
        <v>8.8428067672377098E-2</v>
      </c>
      <c r="N28" s="55">
        <f t="shared" ca="1" si="8"/>
        <v>8.8690056393647562E-2</v>
      </c>
      <c r="O28" s="55">
        <f t="shared" ca="1" si="8"/>
        <v>8.8952045114918027E-2</v>
      </c>
      <c r="P28" s="55">
        <f t="shared" ca="1" si="8"/>
        <v>8.9214033836188505E-2</v>
      </c>
      <c r="Q28" s="55">
        <f t="shared" ca="1" si="8"/>
        <v>8.9476022557458998E-2</v>
      </c>
      <c r="R28" s="55">
        <f t="shared" ca="1" si="8"/>
        <v>8.9738011278729504E-2</v>
      </c>
      <c r="S28" s="55">
        <f t="shared" ref="S28" ca="1" si="9">IF(ISERROR(S27/S$24),"n.a.",(S27/S$24))</f>
        <v>0.09</v>
      </c>
      <c r="T28" s="55"/>
    </row>
    <row r="29" spans="3:21">
      <c r="C29" s="54"/>
      <c r="D29" s="54" t="s">
        <v>0</v>
      </c>
      <c r="E29" s="54"/>
      <c r="F29" s="54"/>
      <c r="G29" s="264">
        <f>IF(ISERROR(G27/F27-1),"n.a.",(G27/F27-1))</f>
        <v>7.3597056117755688E-3</v>
      </c>
      <c r="H29" s="265">
        <f>IF(ISERROR(H27/G27-1),"n.a.",(H27/G27-1))</f>
        <v>-0.10319634703196345</v>
      </c>
      <c r="I29" s="55">
        <f t="shared" ref="I29:S29" si="10">IF(ISERROR(I27/H27-1),"n.a.",(I27/H27-1))</f>
        <v>-4.1270777363150102E-2</v>
      </c>
      <c r="J29" s="55">
        <f t="shared" si="10"/>
        <v>-0.9128768202186025</v>
      </c>
      <c r="K29" s="55">
        <f t="shared" si="10"/>
        <v>12.629752022830738</v>
      </c>
      <c r="L29" s="55">
        <f t="shared" si="10"/>
        <v>0.1126884845303695</v>
      </c>
      <c r="M29" s="55">
        <f t="shared" si="10"/>
        <v>2.5508982195918906E-2</v>
      </c>
      <c r="N29" s="55">
        <f t="shared" ca="1" si="10"/>
        <v>2.302198727994309E-2</v>
      </c>
      <c r="O29" s="55">
        <f t="shared" ca="1" si="10"/>
        <v>2.1007152426079978E-2</v>
      </c>
      <c r="P29" s="55">
        <f t="shared" ca="1" si="10"/>
        <v>1.8992404957828057E-2</v>
      </c>
      <c r="Q29" s="55">
        <f t="shared" ca="1" si="10"/>
        <v>1.6977744105328485E-2</v>
      </c>
      <c r="R29" s="55">
        <f t="shared" ca="1" si="10"/>
        <v>1.4963169107740315E-2</v>
      </c>
      <c r="S29" s="55">
        <f t="shared" ca="1" si="10"/>
        <v>1.2948679213107717E-2</v>
      </c>
      <c r="T29" s="55"/>
    </row>
    <row r="30" spans="3:21" s="54" customFormat="1">
      <c r="C30"/>
      <c r="D30"/>
      <c r="E30"/>
      <c r="F30"/>
      <c r="G30"/>
      <c r="H30" s="73"/>
      <c r="I30"/>
      <c r="J30"/>
      <c r="K30"/>
      <c r="L30"/>
      <c r="M30"/>
      <c r="N30"/>
      <c r="O30"/>
      <c r="P30"/>
      <c r="Q30"/>
      <c r="R30"/>
      <c r="S30"/>
      <c r="T30"/>
    </row>
    <row r="31" spans="3:21" s="54" customFormat="1">
      <c r="C31"/>
      <c r="D31" t="s">
        <v>4</v>
      </c>
      <c r="E31"/>
      <c r="F31" s="136">
        <f>' Financials'!I65</f>
        <v>-31.600000000000009</v>
      </c>
      <c r="G31" s="136">
        <f>' Financials'!J65</f>
        <v>-34.900000000000006</v>
      </c>
      <c r="H31" s="255">
        <f>' Financials'!K65</f>
        <v>-36</v>
      </c>
      <c r="I31" s="136">
        <f>' Financials'!L65</f>
        <v>-36.129215400000028</v>
      </c>
      <c r="J31" s="136">
        <f>' Financials'!M65</f>
        <v>-40.455293523349013</v>
      </c>
      <c r="K31" s="136">
        <f>' Financials'!N65</f>
        <v>-47.195257615808728</v>
      </c>
      <c r="L31" s="136">
        <f>' Financials'!O65</f>
        <v>-51.82954358756416</v>
      </c>
      <c r="M31" s="136">
        <f>' Financials'!P65</f>
        <v>-54.799912142159201</v>
      </c>
      <c r="N31" s="136">
        <f ca="1">' Financials'!Q65</f>
        <v>-53.583260118466001</v>
      </c>
      <c r="O31" s="136">
        <f ca="1">' Financials'!R65</f>
        <v>-52.366608094772801</v>
      </c>
      <c r="P31" s="136">
        <f ca="1">' Financials'!S65</f>
        <v>-51.1499560710796</v>
      </c>
      <c r="Q31" s="136">
        <f ca="1">' Financials'!T65</f>
        <v>-49.9333040473864</v>
      </c>
      <c r="R31" s="136">
        <f ca="1">' Financials'!U65</f>
        <v>-48.7166520236932</v>
      </c>
      <c r="S31" s="136">
        <f ca="1">' Financials'!V65</f>
        <v>-47.5</v>
      </c>
      <c r="T31" s="136"/>
    </row>
    <row r="32" spans="3:21">
      <c r="C32" s="54"/>
      <c r="D32" s="54" t="s">
        <v>24</v>
      </c>
      <c r="E32" s="54"/>
      <c r="F32" s="55">
        <f t="shared" ref="F32:G32" si="11">IF(ISERROR(-F31/F$24),"n.a.",(-F31/F$24))</f>
        <v>2.8858447488584484E-2</v>
      </c>
      <c r="G32" s="55">
        <f t="shared" si="11"/>
        <v>3.0746189763016483E-2</v>
      </c>
      <c r="H32" s="74">
        <f t="shared" ref="H32" si="12">IF(ISERROR(-H31/H$24),"n.a.",(-H31/H$24))</f>
        <v>3.1617776216406115E-2</v>
      </c>
      <c r="I32" s="55">
        <f t="shared" ref="I32:R32" si="13">IF(ISERROR(-I31/I$24),"n.a.",(-I31/I$24))</f>
        <v>3.1437725457855774E-2</v>
      </c>
      <c r="J32" s="55">
        <f t="shared" si="13"/>
        <v>3.6777539566680922E-2</v>
      </c>
      <c r="K32" s="55">
        <f t="shared" si="13"/>
        <v>3.4860359237571976E-2</v>
      </c>
      <c r="L32" s="55">
        <f t="shared" si="13"/>
        <v>3.5819227290854523E-2</v>
      </c>
      <c r="M32" s="55">
        <f t="shared" si="13"/>
        <v>3.7986371391124714E-2</v>
      </c>
      <c r="N32" s="55">
        <f t="shared" ca="1" si="13"/>
        <v>3.641471451466733E-2</v>
      </c>
      <c r="O32" s="55">
        <f t="shared" ca="1" si="13"/>
        <v>3.4958633054813976E-2</v>
      </c>
      <c r="P32" s="55">
        <f t="shared" ca="1" si="13"/>
        <v>3.360868770104064E-2</v>
      </c>
      <c r="Q32" s="55">
        <f t="shared" ca="1" si="13"/>
        <v>3.2356284025319357E-2</v>
      </c>
      <c r="R32" s="55">
        <f t="shared" ca="1" si="13"/>
        <v>3.1193582631993021E-2</v>
      </c>
      <c r="S32" s="55">
        <f t="shared" ref="S32" ca="1" si="14">IF(ISERROR(-S31/S$24),"n.a.",(-S31/S$24))</f>
        <v>3.0113418406678784E-2</v>
      </c>
      <c r="T32" s="55"/>
    </row>
    <row r="33" spans="3:20">
      <c r="C33" s="54"/>
      <c r="D33" s="54" t="s">
        <v>37</v>
      </c>
      <c r="E33" s="54"/>
      <c r="F33" s="55">
        <f t="shared" ref="F33:G33" si="15">F31/F48</f>
        <v>0.87534626038781183</v>
      </c>
      <c r="G33" s="55">
        <f t="shared" si="15"/>
        <v>0.93565683646112618</v>
      </c>
      <c r="H33" s="74">
        <f t="shared" ref="H33" si="16">H31/H48</f>
        <v>1.1612903225806452</v>
      </c>
      <c r="I33" s="55">
        <f t="shared" ref="I33:R33" si="17">I31/I48</f>
        <v>1.0035893166666674</v>
      </c>
      <c r="J33" s="55">
        <f t="shared" si="17"/>
        <v>0.79324104947743168</v>
      </c>
      <c r="K33" s="55">
        <f t="shared" si="17"/>
        <v>0.94390515231617456</v>
      </c>
      <c r="L33" s="55">
        <f t="shared" si="17"/>
        <v>1.0365908717512833</v>
      </c>
      <c r="M33" s="55">
        <f t="shared" si="17"/>
        <v>1.095998242843184</v>
      </c>
      <c r="N33" s="55">
        <f t="shared" ca="1" si="17"/>
        <v>1.0716652023693201</v>
      </c>
      <c r="O33" s="55">
        <f t="shared" ca="1" si="17"/>
        <v>1.0473321618954561</v>
      </c>
      <c r="P33" s="55">
        <f t="shared" ca="1" si="17"/>
        <v>1.0229991214215921</v>
      </c>
      <c r="Q33" s="55">
        <f t="shared" ca="1" si="17"/>
        <v>0.99866608094772802</v>
      </c>
      <c r="R33" s="55">
        <f t="shared" ca="1" si="17"/>
        <v>0.97433304047386404</v>
      </c>
      <c r="S33" s="55">
        <f t="shared" ref="S33" ca="1" si="18">S31/S48</f>
        <v>0.95</v>
      </c>
      <c r="T33" s="55"/>
    </row>
    <row r="34" spans="3:20" s="54" customFormat="1">
      <c r="C34"/>
      <c r="D34"/>
      <c r="E34"/>
      <c r="F34"/>
      <c r="G34"/>
      <c r="H34" s="73"/>
      <c r="I34"/>
      <c r="J34"/>
      <c r="K34"/>
      <c r="L34"/>
      <c r="M34"/>
      <c r="N34"/>
      <c r="O34"/>
      <c r="P34"/>
      <c r="Q34"/>
      <c r="R34"/>
      <c r="S34"/>
      <c r="T34"/>
    </row>
    <row r="35" spans="3:20" s="54" customFormat="1">
      <c r="C35"/>
      <c r="D35" t="s">
        <v>5</v>
      </c>
      <c r="E35"/>
      <c r="F35" s="41">
        <f>F27+F31</f>
        <v>77.099999999999994</v>
      </c>
      <c r="G35" s="41">
        <f t="shared" ref="G35:H35" si="19">G27+G31</f>
        <v>74.599999999999994</v>
      </c>
      <c r="H35" s="256">
        <f t="shared" si="19"/>
        <v>62.2</v>
      </c>
      <c r="I35" s="41">
        <f t="shared" ref="I35:R35" si="20">I27+I31</f>
        <v>58.017994262938636</v>
      </c>
      <c r="J35" s="41">
        <f t="shared" si="20"/>
        <v>-32.252889249967879</v>
      </c>
      <c r="K35" s="41">
        <f t="shared" si="20"/>
        <v>64.601478621383222</v>
      </c>
      <c r="L35" s="41">
        <f t="shared" si="20"/>
        <v>72.565397431638388</v>
      </c>
      <c r="M35" s="41">
        <f t="shared" si="20"/>
        <v>72.768217212764569</v>
      </c>
      <c r="N35" s="41">
        <f t="shared" ca="1" si="20"/>
        <v>76.921741087792952</v>
      </c>
      <c r="O35" s="41">
        <f t="shared" ca="1" si="20"/>
        <v>80.879931564191793</v>
      </c>
      <c r="P35" s="41">
        <f t="shared" ca="1" si="20"/>
        <v>84.627255828317345</v>
      </c>
      <c r="Q35" s="41">
        <f t="shared" ca="1" si="20"/>
        <v>88.149098610973454</v>
      </c>
      <c r="R35" s="41">
        <f t="shared" ca="1" si="20"/>
        <v>91.431900976446798</v>
      </c>
      <c r="S35" s="41">
        <f t="shared" ref="S35" ca="1" si="21">S27+S31</f>
        <v>94.463291655120031</v>
      </c>
      <c r="T35" s="41"/>
    </row>
    <row r="36" spans="3:20">
      <c r="C36" s="54"/>
      <c r="D36" s="54" t="s">
        <v>1</v>
      </c>
      <c r="E36" s="54"/>
      <c r="F36" s="55">
        <f t="shared" ref="F36:G36" si="22">IF(ISERROR(F35/F$24),"n.a.",(F35/F$24))</f>
        <v>7.0410958904109588E-2</v>
      </c>
      <c r="G36" s="55">
        <f t="shared" si="22"/>
        <v>6.5721081843009427E-2</v>
      </c>
      <c r="H36" s="74">
        <f t="shared" ref="H36" si="23">IF(ISERROR(H35/H$24),"n.a.",(H35/H$24))</f>
        <v>5.4628491129457238E-2</v>
      </c>
      <c r="I36" s="55">
        <f t="shared" ref="I36:R36" si="24">IF(ISERROR(I35/I$24),"n.a.",(I35/I$24))</f>
        <v>5.0484178941060394E-2</v>
      </c>
      <c r="J36" s="55">
        <f t="shared" si="24"/>
        <v>-2.9320808409061708E-2</v>
      </c>
      <c r="K36" s="55">
        <f t="shared" si="24"/>
        <v>4.7717310293172235E-2</v>
      </c>
      <c r="L36" s="55">
        <f t="shared" si="24"/>
        <v>5.0149707756228443E-2</v>
      </c>
      <c r="M36" s="55">
        <f t="shared" si="24"/>
        <v>5.0441696281252384E-2</v>
      </c>
      <c r="N36" s="55">
        <f t="shared" ca="1" si="24"/>
        <v>5.2275341878980225E-2</v>
      </c>
      <c r="O36" s="55">
        <f t="shared" ca="1" si="24"/>
        <v>5.3993412060104044E-2</v>
      </c>
      <c r="P36" s="55">
        <f t="shared" ca="1" si="24"/>
        <v>5.5605346135147865E-2</v>
      </c>
      <c r="Q36" s="55">
        <f t="shared" ca="1" si="24"/>
        <v>5.7119738532139641E-2</v>
      </c>
      <c r="R36" s="55">
        <f t="shared" ca="1" si="24"/>
        <v>5.8544428646736479E-2</v>
      </c>
      <c r="S36" s="55">
        <f t="shared" ref="S36" ca="1" si="25">IF(ISERROR(S35/S$24),"n.a.",(S35/S$24))</f>
        <v>5.988658159332122E-2</v>
      </c>
      <c r="T36" s="55"/>
    </row>
    <row r="37" spans="3:20">
      <c r="C37" s="54"/>
      <c r="D37" s="54" t="s">
        <v>0</v>
      </c>
      <c r="E37" s="54"/>
      <c r="F37" s="54"/>
      <c r="G37" s="264">
        <f>IF(ISERROR(G35/F35-1),"n.a.",(G35/F35-1))</f>
        <v>-3.2425421530479892E-2</v>
      </c>
      <c r="H37" s="265">
        <f t="shared" ref="H37:S37" si="26">IF(ISERROR(H35/G35-1),"n.a.",(H35/G35-1))</f>
        <v>-0.16621983914209104</v>
      </c>
      <c r="I37" s="55">
        <f t="shared" si="26"/>
        <v>-6.723481892381622E-2</v>
      </c>
      <c r="J37" s="55">
        <f t="shared" si="26"/>
        <v>-1.5559118280407485</v>
      </c>
      <c r="K37" s="55">
        <f t="shared" si="26"/>
        <v>-3.0029671797991728</v>
      </c>
      <c r="L37" s="55">
        <f t="shared" si="26"/>
        <v>0.12327765525198209</v>
      </c>
      <c r="M37" s="55">
        <f t="shared" si="26"/>
        <v>2.7949930449600036E-3</v>
      </c>
      <c r="N37" s="55">
        <f t="shared" ca="1" si="26"/>
        <v>5.7078818667276598E-2</v>
      </c>
      <c r="O37" s="55">
        <f t="shared" ca="1" si="26"/>
        <v>5.1457369794597474E-2</v>
      </c>
      <c r="P37" s="55">
        <f t="shared" ca="1" si="26"/>
        <v>4.6331941578751534E-2</v>
      </c>
      <c r="Q37" s="55">
        <f t="shared" ca="1" si="26"/>
        <v>4.1615939784232614E-2</v>
      </c>
      <c r="R37" s="55">
        <f t="shared" ca="1" si="26"/>
        <v>3.7241474016215026E-2</v>
      </c>
      <c r="S37" s="55">
        <f t="shared" ca="1" si="26"/>
        <v>3.3154628158219346E-2</v>
      </c>
      <c r="T37" s="55"/>
    </row>
    <row r="38" spans="3:20" s="54" customFormat="1">
      <c r="C38"/>
      <c r="D38"/>
      <c r="E38"/>
      <c r="F38"/>
      <c r="G38"/>
      <c r="H38" s="73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57"/>
      <c r="I39" s="2">
        <f t="shared" ref="I39:R39" si="27">-I35*I40</f>
        <v>-11.023418909958341</v>
      </c>
      <c r="J39" s="2">
        <f t="shared" si="27"/>
        <v>5.4829911724945397</v>
      </c>
      <c r="K39" s="2">
        <f t="shared" si="27"/>
        <v>-10.982251365635149</v>
      </c>
      <c r="L39" s="2">
        <f t="shared" si="27"/>
        <v>-12.336117563378528</v>
      </c>
      <c r="M39" s="2">
        <f t="shared" si="27"/>
        <v>-12.370596926169977</v>
      </c>
      <c r="N39" s="2">
        <f t="shared" ca="1" si="27"/>
        <v>-13.076695984924802</v>
      </c>
      <c r="O39" s="2">
        <f t="shared" ca="1" si="27"/>
        <v>-13.749588365912606</v>
      </c>
      <c r="P39" s="2">
        <f t="shared" ca="1" si="27"/>
        <v>-14.386633490813949</v>
      </c>
      <c r="Q39" s="2">
        <f t="shared" ca="1" si="27"/>
        <v>-14.985346763865488</v>
      </c>
      <c r="R39" s="2">
        <f t="shared" ca="1" si="27"/>
        <v>-15.543423165995957</v>
      </c>
      <c r="S39" s="2">
        <f t="shared" ref="S39" ca="1" si="28">-S35*S40</f>
        <v>-16.058759581370406</v>
      </c>
      <c r="T39" s="2"/>
    </row>
    <row r="40" spans="3:20">
      <c r="C40" s="54"/>
      <c r="D40" s="54" t="s">
        <v>6</v>
      </c>
      <c r="E40" s="54"/>
      <c r="F40" s="117"/>
      <c r="G40" s="117"/>
      <c r="H40" s="258"/>
      <c r="I40" s="117">
        <f>+' Financials'!L29</f>
        <v>0.19</v>
      </c>
      <c r="J40" s="117">
        <f>+' Financials'!M29</f>
        <v>0.17</v>
      </c>
      <c r="K40" s="117">
        <f>+' Financials'!N29</f>
        <v>0.17</v>
      </c>
      <c r="L40" s="117">
        <f>+' Financials'!O29</f>
        <v>0.17</v>
      </c>
      <c r="M40" s="117">
        <f>+' Financials'!P29</f>
        <v>0.17</v>
      </c>
      <c r="N40" s="117">
        <f>+' Financials'!Q29</f>
        <v>0.17</v>
      </c>
      <c r="O40" s="117">
        <f>+' Financials'!R29</f>
        <v>0.17</v>
      </c>
      <c r="P40" s="117">
        <f>+' Financials'!S29</f>
        <v>0.17</v>
      </c>
      <c r="Q40" s="117">
        <f>+' Financials'!T29</f>
        <v>0.17</v>
      </c>
      <c r="R40" s="117">
        <f>+' Financials'!U29</f>
        <v>0.17</v>
      </c>
      <c r="S40" s="117">
        <f>+' Financials'!V29</f>
        <v>0.17</v>
      </c>
      <c r="T40" s="117"/>
    </row>
    <row r="41" spans="3:20" s="54" customFormat="1">
      <c r="C41"/>
      <c r="D41"/>
      <c r="E41"/>
      <c r="F41"/>
      <c r="G41"/>
      <c r="H41" s="73"/>
      <c r="I41"/>
      <c r="J41"/>
      <c r="K41"/>
      <c r="L41"/>
      <c r="M41"/>
      <c r="N41"/>
      <c r="O41"/>
      <c r="P41"/>
      <c r="Q41"/>
      <c r="R41"/>
      <c r="S41"/>
      <c r="T41"/>
    </row>
    <row r="42" spans="3:20" s="54" customFormat="1">
      <c r="C42"/>
      <c r="D42" t="s">
        <v>38</v>
      </c>
      <c r="E42"/>
      <c r="F42" s="2"/>
      <c r="G42" s="2"/>
      <c r="H42" s="257"/>
      <c r="I42" s="2">
        <f t="shared" ref="I42" si="29">I35+I39</f>
        <v>46.994575352980291</v>
      </c>
      <c r="J42" s="2">
        <f t="shared" ref="J42:R42" si="30">J35+J39</f>
        <v>-26.769898077473339</v>
      </c>
      <c r="K42" s="41">
        <f t="shared" si="30"/>
        <v>53.619227255748072</v>
      </c>
      <c r="L42" s="2">
        <f t="shared" si="30"/>
        <v>60.229279868259859</v>
      </c>
      <c r="M42" s="2">
        <f t="shared" si="30"/>
        <v>60.397620286594588</v>
      </c>
      <c r="N42" s="2">
        <f t="shared" ca="1" si="30"/>
        <v>63.845045102868148</v>
      </c>
      <c r="O42" s="2">
        <f t="shared" ca="1" si="30"/>
        <v>67.130343198279192</v>
      </c>
      <c r="P42" s="2">
        <f t="shared" ca="1" si="30"/>
        <v>70.240622337503396</v>
      </c>
      <c r="Q42" s="2">
        <f t="shared" ca="1" si="30"/>
        <v>73.16375184710796</v>
      </c>
      <c r="R42" s="2">
        <f t="shared" ca="1" si="30"/>
        <v>75.888477810450837</v>
      </c>
      <c r="S42" s="2">
        <f t="shared" ref="S42" ca="1" si="31">S35+S39</f>
        <v>78.404532073749621</v>
      </c>
      <c r="T42" s="2"/>
    </row>
    <row r="43" spans="3:20">
      <c r="C43" s="54"/>
      <c r="D43" s="54" t="s">
        <v>1</v>
      </c>
      <c r="E43" s="54"/>
      <c r="F43" s="55"/>
      <c r="G43" s="55"/>
      <c r="H43" s="74"/>
      <c r="I43" s="55">
        <f t="shared" ref="I43" si="32">IF(ISERROR(I42/I$24),"n.a.",(I42/I$24))</f>
        <v>4.0892184942258915E-2</v>
      </c>
      <c r="J43" s="55">
        <f t="shared" ref="J43:R43" si="33">IF(ISERROR(J42/J$24),"n.a.",(J42/J$24))</f>
        <v>-2.4336270979521218E-2</v>
      </c>
      <c r="K43" s="55">
        <f t="shared" si="33"/>
        <v>3.9605367543332951E-2</v>
      </c>
      <c r="L43" s="55">
        <f t="shared" si="33"/>
        <v>4.1624257437669607E-2</v>
      </c>
      <c r="M43" s="55">
        <f t="shared" si="33"/>
        <v>4.1866607913439477E-2</v>
      </c>
      <c r="N43" s="55">
        <f t="shared" ca="1" si="33"/>
        <v>4.3388533759553587E-2</v>
      </c>
      <c r="O43" s="55">
        <f t="shared" ca="1" si="33"/>
        <v>4.481453200988636E-2</v>
      </c>
      <c r="P43" s="55">
        <f t="shared" ca="1" si="33"/>
        <v>4.6152437292172728E-2</v>
      </c>
      <c r="Q43" s="55">
        <f t="shared" ca="1" si="33"/>
        <v>4.7409382981675893E-2</v>
      </c>
      <c r="R43" s="55">
        <f t="shared" ca="1" si="33"/>
        <v>4.859187577679127E-2</v>
      </c>
      <c r="S43" s="55">
        <f t="shared" ref="S43" ca="1" si="34">IF(ISERROR(S42/S$24),"n.a.",(S42/S$24))</f>
        <v>4.9705862722456605E-2</v>
      </c>
      <c r="T43" s="55"/>
    </row>
    <row r="44" spans="3:20">
      <c r="C44" s="54"/>
      <c r="D44" s="54" t="s">
        <v>0</v>
      </c>
      <c r="E44" s="54"/>
      <c r="F44" s="54"/>
      <c r="G44" s="264"/>
      <c r="H44" s="265"/>
      <c r="I44" s="331" t="str">
        <f t="shared" ref="I44:S44" si="35">IF(ISERROR(I42/H42-1),"n.a.",(I42/H42-1))</f>
        <v>n.a.</v>
      </c>
      <c r="J44" s="55">
        <f t="shared" si="35"/>
        <v>-1.5696380460170634</v>
      </c>
      <c r="K44" s="55">
        <f t="shared" si="35"/>
        <v>-3.0029671797991728</v>
      </c>
      <c r="L44" s="55">
        <f t="shared" si="35"/>
        <v>0.12327765525198209</v>
      </c>
      <c r="M44" s="55">
        <f t="shared" si="35"/>
        <v>2.7949930449600036E-3</v>
      </c>
      <c r="N44" s="55">
        <f t="shared" ca="1" si="35"/>
        <v>5.7078818667276598E-2</v>
      </c>
      <c r="O44" s="55">
        <f t="shared" ca="1" si="35"/>
        <v>5.1457369794597474E-2</v>
      </c>
      <c r="P44" s="55">
        <f t="shared" ca="1" si="35"/>
        <v>4.6331941578751312E-2</v>
      </c>
      <c r="Q44" s="55">
        <f t="shared" ca="1" si="35"/>
        <v>4.1615939784232614E-2</v>
      </c>
      <c r="R44" s="55">
        <f t="shared" ca="1" si="35"/>
        <v>3.7241474016215026E-2</v>
      </c>
      <c r="S44" s="55">
        <f t="shared" ca="1" si="35"/>
        <v>3.3154628158219346E-2</v>
      </c>
      <c r="T44" s="55"/>
    </row>
    <row r="45" spans="3:20">
      <c r="H45" s="73"/>
    </row>
    <row r="46" spans="3:20">
      <c r="D46" t="s">
        <v>4</v>
      </c>
      <c r="F46" s="2"/>
      <c r="G46" s="2"/>
      <c r="H46" s="257"/>
      <c r="I46" s="2">
        <f t="shared" ref="I46" si="36">-I31</f>
        <v>36.129215400000028</v>
      </c>
      <c r="J46" s="2">
        <f t="shared" ref="J46:R46" si="37">-J31</f>
        <v>40.455293523349013</v>
      </c>
      <c r="K46" s="2">
        <f t="shared" si="37"/>
        <v>47.195257615808728</v>
      </c>
      <c r="L46" s="2">
        <f t="shared" si="37"/>
        <v>51.82954358756416</v>
      </c>
      <c r="M46" s="2">
        <f t="shared" si="37"/>
        <v>54.799912142159201</v>
      </c>
      <c r="N46" s="2">
        <f t="shared" ca="1" si="37"/>
        <v>53.583260118466001</v>
      </c>
      <c r="O46" s="2">
        <f t="shared" ca="1" si="37"/>
        <v>52.366608094772801</v>
      </c>
      <c r="P46" s="2">
        <f t="shared" ca="1" si="37"/>
        <v>51.1499560710796</v>
      </c>
      <c r="Q46" s="2">
        <f t="shared" ca="1" si="37"/>
        <v>49.9333040473864</v>
      </c>
      <c r="R46" s="2">
        <f t="shared" ca="1" si="37"/>
        <v>48.7166520236932</v>
      </c>
      <c r="S46" s="2">
        <f t="shared" ref="S46" ca="1" si="38">-S31</f>
        <v>47.5</v>
      </c>
      <c r="T46" s="2"/>
    </row>
    <row r="47" spans="3:20" s="54" customFormat="1">
      <c r="C47"/>
      <c r="D47"/>
      <c r="E47"/>
      <c r="F47"/>
      <c r="G47"/>
      <c r="H47" s="73"/>
      <c r="I47"/>
      <c r="J47"/>
      <c r="K47" s="149"/>
      <c r="L47" s="149"/>
      <c r="M47" s="149"/>
      <c r="N47" s="149"/>
      <c r="O47" s="149"/>
      <c r="P47" s="149"/>
      <c r="Q47" s="149"/>
      <c r="R47" s="149"/>
      <c r="S47" s="149"/>
      <c r="T47" s="149"/>
    </row>
    <row r="48" spans="3:20" s="54" customFormat="1">
      <c r="C48"/>
      <c r="D48" t="s">
        <v>7</v>
      </c>
      <c r="E48"/>
      <c r="F48" s="136">
        <f>+' Financials'!I72</f>
        <v>-36.1</v>
      </c>
      <c r="G48" s="136">
        <f>+' Financials'!J72</f>
        <v>-37.299999999999997</v>
      </c>
      <c r="H48" s="255">
        <f>+' Financials'!K72</f>
        <v>-31</v>
      </c>
      <c r="I48" s="136">
        <f>+' Financials'!L72</f>
        <v>-36</v>
      </c>
      <c r="J48" s="136">
        <f>+' Financials'!M72</f>
        <v>-51</v>
      </c>
      <c r="K48" s="136">
        <f>+' Financials'!N72</f>
        <v>-50</v>
      </c>
      <c r="L48" s="136">
        <f>+' Financials'!O72</f>
        <v>-50</v>
      </c>
      <c r="M48" s="136">
        <f>+' Financials'!P72</f>
        <v>-50</v>
      </c>
      <c r="N48" s="136">
        <f>+' Financials'!Q72</f>
        <v>-50</v>
      </c>
      <c r="O48" s="136">
        <f>+' Financials'!R72</f>
        <v>-50</v>
      </c>
      <c r="P48" s="136">
        <f>+' Financials'!S72</f>
        <v>-50</v>
      </c>
      <c r="Q48" s="136">
        <f>+' Financials'!T72</f>
        <v>-50</v>
      </c>
      <c r="R48" s="136">
        <f>+' Financials'!U72</f>
        <v>-50</v>
      </c>
      <c r="S48" s="136">
        <f>+' Financials'!V72</f>
        <v>-50</v>
      </c>
      <c r="T48" s="136"/>
    </row>
    <row r="49" spans="3:20">
      <c r="C49" s="54"/>
      <c r="D49" s="54" t="s">
        <v>24</v>
      </c>
      <c r="E49" s="54"/>
      <c r="F49" s="55">
        <f t="shared" ref="F49:G49" si="39">IF(ISERROR(-F48/F$24),"n.a.",(-F48/F$24))</f>
        <v>3.2968036529680368E-2</v>
      </c>
      <c r="G49" s="55">
        <f t="shared" si="39"/>
        <v>3.2860540921504713E-2</v>
      </c>
      <c r="H49" s="74">
        <f t="shared" ref="H49" si="40">IF(ISERROR(-H48/H$24),"n.a.",(-H48/H$24))</f>
        <v>2.7226418408571932E-2</v>
      </c>
      <c r="I49" s="55">
        <f t="shared" ref="I49:R49" si="41">IF(ISERROR(-I48/I$24),"n.a.",(-I48/I$24))</f>
        <v>3.1325289075688233E-2</v>
      </c>
      <c r="J49" s="55">
        <f t="shared" si="41"/>
        <v>4.6363636363636364E-2</v>
      </c>
      <c r="K49" s="55">
        <f t="shared" si="41"/>
        <v>3.6932057370415751E-2</v>
      </c>
      <c r="L49" s="55">
        <f t="shared" si="41"/>
        <v>3.4554835728332456E-2</v>
      </c>
      <c r="M49" s="55">
        <f t="shared" si="41"/>
        <v>3.4659153551726836E-2</v>
      </c>
      <c r="N49" s="55">
        <f t="shared" si="41"/>
        <v>3.3979562305614552E-2</v>
      </c>
      <c r="O49" s="55">
        <f t="shared" ca="1" si="41"/>
        <v>3.3378744897460261E-2</v>
      </c>
      <c r="P49" s="55">
        <f t="shared" ca="1" si="41"/>
        <v>3.2853095371516004E-2</v>
      </c>
      <c r="Q49" s="55">
        <f t="shared" ca="1" si="41"/>
        <v>3.239950233877318E-2</v>
      </c>
      <c r="R49" s="55">
        <f t="shared" ca="1" si="41"/>
        <v>3.2015318516574284E-2</v>
      </c>
      <c r="S49" s="55">
        <f t="shared" ref="S49" ca="1" si="42">IF(ISERROR(-S48/S$24),"n.a.",(-S48/S$24))</f>
        <v>3.1698335164925033E-2</v>
      </c>
      <c r="T49" s="55"/>
    </row>
    <row r="50" spans="3:20">
      <c r="C50" s="54"/>
      <c r="D50" s="54" t="s">
        <v>27</v>
      </c>
      <c r="E50" s="54"/>
      <c r="F50" s="55">
        <f t="shared" ref="F50:G50" si="43">F48/F31</f>
        <v>1.1424050632911389</v>
      </c>
      <c r="G50" s="55">
        <f t="shared" si="43"/>
        <v>1.0687679083094552</v>
      </c>
      <c r="H50" s="74">
        <f t="shared" ref="H50" si="44">H48/H31</f>
        <v>0.86111111111111116</v>
      </c>
      <c r="I50" s="55">
        <f t="shared" ref="I50:R50" si="45">I48/I31</f>
        <v>0.99642352045098581</v>
      </c>
      <c r="J50" s="55">
        <f t="shared" si="45"/>
        <v>1.2606508458668098</v>
      </c>
      <c r="K50" s="55">
        <f t="shared" si="45"/>
        <v>1.0594284791710042</v>
      </c>
      <c r="L50" s="55">
        <f t="shared" si="45"/>
        <v>0.96470075827557289</v>
      </c>
      <c r="M50" s="55">
        <f t="shared" si="45"/>
        <v>0.91241022194146026</v>
      </c>
      <c r="N50" s="55">
        <f t="shared" ca="1" si="45"/>
        <v>0.9331272470069224</v>
      </c>
      <c r="O50" s="55">
        <f t="shared" ca="1" si="45"/>
        <v>0.95480692409006662</v>
      </c>
      <c r="P50" s="55">
        <f t="shared" ca="1" si="45"/>
        <v>0.97751794606662834</v>
      </c>
      <c r="Q50" s="55">
        <f t="shared" ca="1" si="45"/>
        <v>1.0013357007689758</v>
      </c>
      <c r="R50" s="55">
        <f t="shared" ca="1" si="45"/>
        <v>1.0263431069869631</v>
      </c>
      <c r="S50" s="55">
        <f t="shared" ref="S50" ca="1" si="46">S48/S31</f>
        <v>1.0526315789473684</v>
      </c>
      <c r="T50" s="55"/>
    </row>
    <row r="51" spans="3:20">
      <c r="C51" s="54"/>
      <c r="D51" s="54"/>
      <c r="E51" s="54"/>
      <c r="F51" s="55"/>
      <c r="G51" s="55"/>
      <c r="H51" s="74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3:20">
      <c r="D52" t="s">
        <v>39</v>
      </c>
      <c r="F52" s="136">
        <f>+' Financials'!I74</f>
        <v>-16.300000000000004</v>
      </c>
      <c r="G52" s="136">
        <f>+' Financials'!J74</f>
        <v>-12.6</v>
      </c>
      <c r="H52" s="255">
        <f>+' Financials'!K74</f>
        <v>-10.399999999999999</v>
      </c>
      <c r="I52" s="136">
        <f>+' Financials'!L74</f>
        <v>6</v>
      </c>
      <c r="J52" s="136">
        <f>+' Financials'!M74</f>
        <v>16.111954440903407</v>
      </c>
      <c r="K52" s="136">
        <f>+' Financials'!N74</f>
        <v>15.168892666804709</v>
      </c>
      <c r="L52" s="136">
        <f>+' Financials'!O74</f>
        <v>11.110216900668604</v>
      </c>
      <c r="M52" s="136">
        <f>+' Financials'!P74</f>
        <v>3.9548595532390358</v>
      </c>
      <c r="N52" s="136">
        <f>+' Financials'!Q74</f>
        <v>0</v>
      </c>
      <c r="O52" s="136">
        <f ca="1">+' Financials'!R74</f>
        <v>0</v>
      </c>
      <c r="P52" s="136">
        <f ca="1">+' Financials'!S74</f>
        <v>0</v>
      </c>
      <c r="Q52" s="136">
        <f ca="1">+' Financials'!T74</f>
        <v>0</v>
      </c>
      <c r="R52" s="136">
        <f ca="1">+' Financials'!U74</f>
        <v>0</v>
      </c>
      <c r="S52" s="136">
        <f ca="1">+' Financials'!V74</f>
        <v>0</v>
      </c>
      <c r="T52" s="136"/>
    </row>
    <row r="53" spans="3:20">
      <c r="C53" s="54"/>
      <c r="D53" s="54" t="s">
        <v>24</v>
      </c>
      <c r="E53" s="54"/>
      <c r="F53" s="55">
        <f>IF(ISERROR(F52/F$24),"n.a.",(F52/F$24))</f>
        <v>-1.4885844748858451E-2</v>
      </c>
      <c r="G53" s="55">
        <f t="shared" ref="G53:S53" si="47">IF(ISERROR(G52/G$24),"n.a.",(G52/G$24))</f>
        <v>-1.1100343582063256E-2</v>
      </c>
      <c r="H53" s="74">
        <f t="shared" si="47"/>
        <v>-9.1340242402950991E-3</v>
      </c>
      <c r="I53" s="55">
        <f t="shared" si="47"/>
        <v>5.2208815126147052E-3</v>
      </c>
      <c r="J53" s="55">
        <f t="shared" si="47"/>
        <v>1.4647231309912188E-2</v>
      </c>
      <c r="K53" s="55">
        <f t="shared" si="47"/>
        <v>1.1204368284322206E-2</v>
      </c>
      <c r="L53" s="55">
        <f t="shared" si="47"/>
        <v>7.6782343981749305E-3</v>
      </c>
      <c r="M53" s="55">
        <f t="shared" si="47"/>
        <v>2.741441690624511E-3</v>
      </c>
      <c r="N53" s="55">
        <f t="shared" si="47"/>
        <v>0</v>
      </c>
      <c r="O53" s="55">
        <f t="shared" ca="1" si="47"/>
        <v>0</v>
      </c>
      <c r="P53" s="55">
        <f t="shared" ca="1" si="47"/>
        <v>0</v>
      </c>
      <c r="Q53" s="55">
        <f t="shared" ca="1" si="47"/>
        <v>0</v>
      </c>
      <c r="R53" s="55">
        <f t="shared" ca="1" si="47"/>
        <v>0</v>
      </c>
      <c r="S53" s="55">
        <f t="shared" ca="1" si="47"/>
        <v>0</v>
      </c>
      <c r="T53" s="55"/>
    </row>
    <row r="54" spans="3:20">
      <c r="C54" s="54"/>
      <c r="D54" s="54"/>
      <c r="E54" s="54"/>
      <c r="F54" s="55"/>
      <c r="G54" s="55"/>
      <c r="H54" s="74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</row>
    <row r="55" spans="3:20">
      <c r="C55" s="54"/>
      <c r="D55" t="s">
        <v>130</v>
      </c>
      <c r="E55" s="54"/>
      <c r="F55" s="136">
        <f>+' Financials'!I76</f>
        <v>0</v>
      </c>
      <c r="G55" s="136">
        <f>+' Financials'!J76</f>
        <v>-1.5</v>
      </c>
      <c r="H55" s="255">
        <f>+' Financials'!K76</f>
        <v>0.74</v>
      </c>
      <c r="I55" s="136">
        <f>+' Financials'!L76</f>
        <v>0</v>
      </c>
      <c r="J55" s="136">
        <f>+' Financials'!M76</f>
        <v>0</v>
      </c>
      <c r="K55" s="136">
        <f>+' Financials'!N76</f>
        <v>-5</v>
      </c>
      <c r="L55" s="136">
        <f>+' Financials'!O76</f>
        <v>-5</v>
      </c>
      <c r="M55" s="136">
        <f>+' Financials'!P76</f>
        <v>-5</v>
      </c>
      <c r="N55" s="136">
        <f>+' Financials'!Q76</f>
        <v>-5</v>
      </c>
      <c r="O55" s="136">
        <f>+' Financials'!R76</f>
        <v>-5</v>
      </c>
      <c r="P55" s="136">
        <f>+' Financials'!S76</f>
        <v>-5</v>
      </c>
      <c r="Q55" s="136">
        <f>+' Financials'!T76</f>
        <v>-5</v>
      </c>
      <c r="R55" s="136">
        <f>+' Financials'!U76</f>
        <v>-5</v>
      </c>
      <c r="S55" s="136">
        <f>+' Financials'!V76</f>
        <v>-5</v>
      </c>
      <c r="T55" s="55"/>
    </row>
    <row r="56" spans="3:20">
      <c r="C56" s="54"/>
      <c r="D56" s="54" t="s">
        <v>24</v>
      </c>
      <c r="E56" s="54"/>
      <c r="F56" s="55">
        <f>IF(ISERROR(F55/F$24),"n.a.",(F55/F$24))</f>
        <v>0</v>
      </c>
      <c r="G56" s="55">
        <f t="shared" ref="G56:S56" si="48">IF(ISERROR(G55/G$24),"n.a.",(G55/G$24))</f>
        <v>-1.3214694740551493E-3</v>
      </c>
      <c r="H56" s="74">
        <f t="shared" si="48"/>
        <v>6.4992095555945904E-4</v>
      </c>
      <c r="I56" s="55">
        <f t="shared" si="48"/>
        <v>0</v>
      </c>
      <c r="J56" s="55">
        <f t="shared" si="48"/>
        <v>0</v>
      </c>
      <c r="K56" s="55">
        <f t="shared" si="48"/>
        <v>-3.6932057370415751E-3</v>
      </c>
      <c r="L56" s="55">
        <f t="shared" si="48"/>
        <v>-3.4554835728332453E-3</v>
      </c>
      <c r="M56" s="55">
        <f t="shared" si="48"/>
        <v>-3.4659153551726838E-3</v>
      </c>
      <c r="N56" s="55">
        <f t="shared" si="48"/>
        <v>-3.3979562305614551E-3</v>
      </c>
      <c r="O56" s="55">
        <f t="shared" ca="1" si="48"/>
        <v>-3.3378744897460265E-3</v>
      </c>
      <c r="P56" s="55">
        <f t="shared" ca="1" si="48"/>
        <v>-3.2853095371516007E-3</v>
      </c>
      <c r="Q56" s="55">
        <f t="shared" ca="1" si="48"/>
        <v>-3.2399502338773178E-3</v>
      </c>
      <c r="R56" s="55">
        <f t="shared" ca="1" si="48"/>
        <v>-3.2015318516574287E-3</v>
      </c>
      <c r="S56" s="55">
        <f t="shared" ca="1" si="48"/>
        <v>-3.1698335164925037E-3</v>
      </c>
      <c r="T56" s="55"/>
    </row>
    <row r="57" spans="3:20">
      <c r="C57" s="54"/>
      <c r="D57" s="54"/>
      <c r="E57" s="54"/>
      <c r="F57" s="55"/>
      <c r="G57" s="55"/>
      <c r="H57" s="74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</row>
    <row r="58" spans="3:20">
      <c r="C58" s="54"/>
      <c r="D58" t="s">
        <v>131</v>
      </c>
      <c r="E58" s="54"/>
      <c r="F58" s="136">
        <f>+' Financials'!I78</f>
        <v>0</v>
      </c>
      <c r="G58" s="136">
        <f>+' Financials'!J78</f>
        <v>0</v>
      </c>
      <c r="H58" s="255">
        <f>+' Financials'!K78</f>
        <v>0</v>
      </c>
      <c r="I58" s="136">
        <f>+' Financials'!L78</f>
        <v>0</v>
      </c>
      <c r="J58" s="136">
        <f>+' Financials'!M78</f>
        <v>-18.004468664734777</v>
      </c>
      <c r="K58" s="136">
        <f>+' Financials'!N78</f>
        <v>-6.7527180429793674</v>
      </c>
      <c r="L58" s="136">
        <f>+' Financials'!O78</f>
        <v>25.138454026318882</v>
      </c>
      <c r="M58" s="136">
        <f>+' Financials'!P78</f>
        <v>-4.8650405710493061</v>
      </c>
      <c r="N58" s="136">
        <f>+' Financials'!Q78</f>
        <v>0</v>
      </c>
      <c r="O58" s="136">
        <f>+' Financials'!R78</f>
        <v>0</v>
      </c>
      <c r="P58" s="136">
        <f>+' Financials'!S78</f>
        <v>0</v>
      </c>
      <c r="Q58" s="136">
        <f>+' Financials'!T78</f>
        <v>0</v>
      </c>
      <c r="R58" s="136">
        <f>+' Financials'!U78</f>
        <v>0</v>
      </c>
      <c r="S58" s="136">
        <f>+' Financials'!V78</f>
        <v>0</v>
      </c>
      <c r="T58" s="55"/>
    </row>
    <row r="59" spans="3:20">
      <c r="C59" s="54"/>
      <c r="D59" s="54" t="s">
        <v>24</v>
      </c>
      <c r="E59" s="54"/>
      <c r="F59" s="55">
        <f>IF(ISERROR(F58/F$24),"n.a.",(F58/F$24))</f>
        <v>0</v>
      </c>
      <c r="G59" s="55">
        <f t="shared" ref="G59:S59" si="49">IF(ISERROR(G58/G$24),"n.a.",(G58/G$24))</f>
        <v>0</v>
      </c>
      <c r="H59" s="74">
        <f t="shared" si="49"/>
        <v>0</v>
      </c>
      <c r="I59" s="55">
        <f t="shared" si="49"/>
        <v>0</v>
      </c>
      <c r="J59" s="55">
        <f t="shared" si="49"/>
        <v>-1.6367698786122525E-2</v>
      </c>
      <c r="K59" s="55">
        <f t="shared" si="49"/>
        <v>-4.9878354033911108E-3</v>
      </c>
      <c r="L59" s="55">
        <f t="shared" si="49"/>
        <v>1.737310298687373E-2</v>
      </c>
      <c r="M59" s="55">
        <f t="shared" si="49"/>
        <v>-3.3723637637475745E-3</v>
      </c>
      <c r="N59" s="55">
        <f t="shared" si="49"/>
        <v>0</v>
      </c>
      <c r="O59" s="55">
        <f t="shared" ca="1" si="49"/>
        <v>0</v>
      </c>
      <c r="P59" s="55">
        <f t="shared" ca="1" si="49"/>
        <v>0</v>
      </c>
      <c r="Q59" s="55">
        <f t="shared" ca="1" si="49"/>
        <v>0</v>
      </c>
      <c r="R59" s="55">
        <f t="shared" ca="1" si="49"/>
        <v>0</v>
      </c>
      <c r="S59" s="55">
        <f t="shared" ca="1" si="49"/>
        <v>0</v>
      </c>
      <c r="T59" s="55"/>
    </row>
    <row r="60" spans="3:20">
      <c r="H60" s="74"/>
    </row>
    <row r="61" spans="3:20">
      <c r="D61" s="56" t="s">
        <v>40</v>
      </c>
      <c r="E61" s="56"/>
      <c r="F61" s="137"/>
      <c r="G61" s="137"/>
      <c r="H61" s="138"/>
      <c r="I61" s="137">
        <f>I42+I46+I48+I52+I55+I58</f>
        <v>53.123790752980312</v>
      </c>
      <c r="J61" s="137">
        <f t="shared" ref="J61:S61" si="50">J42+J46+J48+J52+J55+J58</f>
        <v>-39.207118777955699</v>
      </c>
      <c r="K61" s="137">
        <f t="shared" si="50"/>
        <v>54.230659495382142</v>
      </c>
      <c r="L61" s="137">
        <f t="shared" si="50"/>
        <v>93.307494382811498</v>
      </c>
      <c r="M61" s="137">
        <f t="shared" si="50"/>
        <v>59.287351410943515</v>
      </c>
      <c r="N61" s="137">
        <f t="shared" ca="1" si="50"/>
        <v>62.428305221334142</v>
      </c>
      <c r="O61" s="137">
        <f t="shared" ca="1" si="50"/>
        <v>64.496951293051993</v>
      </c>
      <c r="P61" s="137">
        <f t="shared" ca="1" si="50"/>
        <v>66.390578408582996</v>
      </c>
      <c r="Q61" s="137">
        <f t="shared" ca="1" si="50"/>
        <v>68.09705589449436</v>
      </c>
      <c r="R61" s="137">
        <f t="shared" ca="1" si="50"/>
        <v>69.605129834144037</v>
      </c>
      <c r="S61" s="137">
        <f t="shared" ca="1" si="50"/>
        <v>70.904532073749621</v>
      </c>
      <c r="T61" s="137"/>
    </row>
    <row r="62" spans="3:20">
      <c r="H62" s="73"/>
    </row>
    <row r="63" spans="3:20" ht="12.75" customHeight="1">
      <c r="D63" s="39" t="s">
        <v>63</v>
      </c>
      <c r="H63" s="73"/>
      <c r="I63" s="259">
        <f t="shared" ref="I63:S63" si="51">-I18*I61</f>
        <v>-53.123790752980312</v>
      </c>
      <c r="J63" s="2">
        <f t="shared" si="51"/>
        <v>2.6835810251851621E-2</v>
      </c>
      <c r="K63" s="2">
        <f t="shared" si="51"/>
        <v>0</v>
      </c>
      <c r="L63" s="2">
        <f t="shared" si="51"/>
        <v>0</v>
      </c>
      <c r="M63" s="2">
        <f t="shared" si="51"/>
        <v>0</v>
      </c>
      <c r="N63" s="2">
        <f t="shared" ca="1" si="51"/>
        <v>0</v>
      </c>
      <c r="O63" s="2">
        <f t="shared" ca="1" si="51"/>
        <v>0</v>
      </c>
      <c r="P63" s="2">
        <f t="shared" ca="1" si="51"/>
        <v>0</v>
      </c>
      <c r="Q63" s="2">
        <f t="shared" ca="1" si="51"/>
        <v>0</v>
      </c>
      <c r="R63" s="2">
        <f t="shared" ca="1" si="51"/>
        <v>0</v>
      </c>
      <c r="S63" s="2">
        <f t="shared" ca="1" si="51"/>
        <v>0</v>
      </c>
      <c r="T63" s="2"/>
    </row>
    <row r="64" spans="3:20">
      <c r="D64" s="56" t="s">
        <v>41</v>
      </c>
      <c r="E64" s="56"/>
      <c r="F64" s="56"/>
      <c r="G64" s="56"/>
      <c r="H64" s="261"/>
      <c r="I64" s="139">
        <f>I63+I61</f>
        <v>0</v>
      </c>
      <c r="J64" s="137">
        <f t="shared" ref="J64:O64" si="52">J63+J61</f>
        <v>-39.180282967703846</v>
      </c>
      <c r="K64" s="137">
        <f t="shared" si="52"/>
        <v>54.230659495382142</v>
      </c>
      <c r="L64" s="137">
        <f t="shared" si="52"/>
        <v>93.307494382811498</v>
      </c>
      <c r="M64" s="137">
        <f>M63+M61</f>
        <v>59.287351410943515</v>
      </c>
      <c r="N64" s="137">
        <f t="shared" ca="1" si="52"/>
        <v>62.428305221334142</v>
      </c>
      <c r="O64" s="137">
        <f t="shared" ca="1" si="52"/>
        <v>64.496951293051993</v>
      </c>
      <c r="P64" s="137">
        <f ca="1">P63+P61</f>
        <v>66.390578408582996</v>
      </c>
      <c r="Q64" s="137">
        <f ca="1">Q63+Q61</f>
        <v>68.09705589449436</v>
      </c>
      <c r="R64" s="137">
        <f ca="1">R63+R61</f>
        <v>69.605129834144037</v>
      </c>
      <c r="S64" s="137">
        <f ca="1">S63+S61</f>
        <v>70.904532073749621</v>
      </c>
      <c r="T64" s="137"/>
    </row>
    <row r="65" spans="4:20">
      <c r="H65" s="73"/>
    </row>
    <row r="66" spans="4:20" ht="12.75" customHeight="1">
      <c r="D66" s="57" t="s">
        <v>42</v>
      </c>
      <c r="E66" s="57"/>
      <c r="F66" s="57"/>
      <c r="G66" s="57"/>
      <c r="H66" s="262"/>
      <c r="I66" s="130">
        <f>(I22-F7)/2</f>
        <v>0</v>
      </c>
      <c r="J66" s="140">
        <f t="shared" ref="J66:S66" si="53">I66+365.25</f>
        <v>365.25</v>
      </c>
      <c r="K66" s="140">
        <f t="shared" si="53"/>
        <v>730.5</v>
      </c>
      <c r="L66" s="140">
        <f t="shared" si="53"/>
        <v>1095.75</v>
      </c>
      <c r="M66" s="140">
        <f t="shared" si="53"/>
        <v>1461</v>
      </c>
      <c r="N66" s="140">
        <f t="shared" si="53"/>
        <v>1826.25</v>
      </c>
      <c r="O66" s="140">
        <f t="shared" si="53"/>
        <v>2191.5</v>
      </c>
      <c r="P66" s="140">
        <f t="shared" si="53"/>
        <v>2556.75</v>
      </c>
      <c r="Q66" s="140">
        <f t="shared" si="53"/>
        <v>2922</v>
      </c>
      <c r="R66" s="140">
        <f t="shared" si="53"/>
        <v>3287.25</v>
      </c>
      <c r="S66" s="140">
        <f t="shared" si="53"/>
        <v>3652.5</v>
      </c>
      <c r="T66" s="140"/>
    </row>
    <row r="67" spans="4:20">
      <c r="D67" s="42" t="s">
        <v>43</v>
      </c>
      <c r="E67" s="42"/>
      <c r="F67" s="42"/>
      <c r="G67" s="42"/>
      <c r="H67" s="263"/>
      <c r="I67" s="131">
        <f>1/((1+$F$11)^(I66/365.25))</f>
        <v>1</v>
      </c>
      <c r="J67" s="141">
        <f t="shared" ref="J67:Q67" si="54">1/((1+$F$11)^(J66/365.25))</f>
        <v>0.92165898617511521</v>
      </c>
      <c r="K67" s="141">
        <f t="shared" si="54"/>
        <v>0.84945528679734128</v>
      </c>
      <c r="L67" s="141">
        <f t="shared" si="54"/>
        <v>0.78290809843072917</v>
      </c>
      <c r="M67" s="141">
        <f t="shared" si="54"/>
        <v>0.72157428426795334</v>
      </c>
      <c r="N67" s="141">
        <f t="shared" si="54"/>
        <v>0.66504542328843619</v>
      </c>
      <c r="O67" s="141">
        <f t="shared" si="54"/>
        <v>0.6129450905884205</v>
      </c>
      <c r="P67" s="141">
        <f t="shared" si="54"/>
        <v>0.56492635077273778</v>
      </c>
      <c r="Q67" s="141">
        <f t="shared" si="54"/>
        <v>0.52066944771680901</v>
      </c>
      <c r="R67" s="141">
        <f>1/((1+$F$11)^(R66/365.25))</f>
        <v>0.4798796753150314</v>
      </c>
      <c r="S67" s="141">
        <f>1/((1+$F$11)^(S66/365.25))</f>
        <v>0.44228541503689528</v>
      </c>
      <c r="T67" s="141"/>
    </row>
    <row r="68" spans="4:20">
      <c r="R68" s="2"/>
      <c r="S68" s="2"/>
      <c r="T68" s="2"/>
    </row>
    <row r="69" spans="4:20">
      <c r="D69" s="72" t="s">
        <v>44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 t="s">
        <v>45</v>
      </c>
      <c r="Q69" s="72"/>
      <c r="R69" s="72"/>
      <c r="S69" s="72"/>
      <c r="T69" s="77">
        <f ca="1">S64*(1+F9)/(F11-F9)</f>
        <v>890.73818417647954</v>
      </c>
    </row>
    <row r="70" spans="4:20"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 t="s">
        <v>46</v>
      </c>
      <c r="Q70" s="37"/>
      <c r="R70" s="37"/>
      <c r="S70" s="37"/>
      <c r="T70" s="78">
        <f ca="1">S27*F10</f>
        <v>1206.6879790685202</v>
      </c>
    </row>
    <row r="71" spans="4:20">
      <c r="Q71" s="2"/>
      <c r="R71" s="2"/>
      <c r="S71" s="2"/>
      <c r="T71" s="2"/>
    </row>
    <row r="72" spans="4:20">
      <c r="F72" s="47" t="s">
        <v>47</v>
      </c>
      <c r="G72" s="47"/>
      <c r="H72" s="47"/>
      <c r="I72" s="47"/>
      <c r="L72" s="47" t="s">
        <v>48</v>
      </c>
      <c r="M72" s="47"/>
      <c r="N72" s="47"/>
      <c r="O72" s="47"/>
    </row>
    <row r="73" spans="4:20" ht="4.5" customHeight="1"/>
    <row r="74" spans="4:20">
      <c r="F74" s="37" t="s">
        <v>49</v>
      </c>
      <c r="G74" s="37"/>
      <c r="H74" s="133" t="s">
        <v>143</v>
      </c>
      <c r="I74" s="133" t="s">
        <v>21</v>
      </c>
      <c r="L74" s="37" t="s">
        <v>49</v>
      </c>
      <c r="M74" s="79"/>
      <c r="N74" s="133" t="s">
        <v>143</v>
      </c>
      <c r="O74" s="133" t="s">
        <v>21</v>
      </c>
    </row>
    <row r="75" spans="4:20">
      <c r="F75" t="s">
        <v>50</v>
      </c>
      <c r="H75" s="322">
        <f ca="1">SUMPRODUCT($I$64:$T$64,$I$67:$T$67)</f>
        <v>344.56180118905041</v>
      </c>
      <c r="I75" s="53">
        <f ca="1">H75/$H$77</f>
        <v>0.46655571151409547</v>
      </c>
      <c r="L75" t="s">
        <v>50</v>
      </c>
      <c r="N75" s="41">
        <f ca="1">SUMPRODUCT($G$64:$T$64,$G$67:$T$67)</f>
        <v>344.56180118905041</v>
      </c>
      <c r="O75" s="53">
        <f ca="1">N75/$N$77</f>
        <v>0.37305304205557338</v>
      </c>
    </row>
    <row r="76" spans="4:20">
      <c r="F76" t="s">
        <v>51</v>
      </c>
      <c r="H76" s="322">
        <f ca="1">T69*S67</f>
        <v>393.96050747770471</v>
      </c>
      <c r="I76" s="53">
        <f ca="1">H76/$H$77</f>
        <v>0.53344428848590442</v>
      </c>
      <c r="L76" t="s">
        <v>51</v>
      </c>
      <c r="N76" s="41">
        <f ca="1">T70*R67</f>
        <v>579.0650356019529</v>
      </c>
      <c r="O76" s="53">
        <f ca="1">N76/$N$77</f>
        <v>0.62694695794442656</v>
      </c>
    </row>
    <row r="77" spans="4:20">
      <c r="F77" s="24" t="s">
        <v>52</v>
      </c>
      <c r="G77" s="56"/>
      <c r="H77" s="323">
        <f ca="1">SUM(H75:H76)</f>
        <v>738.52230866675518</v>
      </c>
      <c r="I77" s="58">
        <f ca="1">SUM(I75:I76)</f>
        <v>0.99999999999999989</v>
      </c>
      <c r="L77" s="24" t="s">
        <v>52</v>
      </c>
      <c r="M77" s="56"/>
      <c r="N77" s="49">
        <f ca="1">SUM(N75:N76)</f>
        <v>923.62683679100337</v>
      </c>
      <c r="O77" s="58">
        <f ca="1">SUM(O75:O76)</f>
        <v>1</v>
      </c>
    </row>
    <row r="78" spans="4:20">
      <c r="F78" t="s">
        <v>67</v>
      </c>
      <c r="H78" s="136">
        <f>-SUM(Assumptions!$D$19:$D$22)</f>
        <v>-84.616813539584982</v>
      </c>
      <c r="I78" s="82"/>
      <c r="L78" t="s">
        <v>67</v>
      </c>
      <c r="N78" s="136">
        <f>-SUM(Assumptions!$D$19:$D$22)</f>
        <v>-84.616813539584982</v>
      </c>
      <c r="O78" s="82"/>
    </row>
    <row r="79" spans="4:20">
      <c r="F79" s="24" t="s">
        <v>68</v>
      </c>
      <c r="G79" s="56"/>
      <c r="H79" s="323">
        <f ca="1">H77+H78</f>
        <v>653.90549512717018</v>
      </c>
      <c r="I79" s="58"/>
      <c r="L79" s="24" t="s">
        <v>68</v>
      </c>
      <c r="M79" s="56"/>
      <c r="N79" s="49">
        <f ca="1">N77+N78</f>
        <v>839.01002325141837</v>
      </c>
      <c r="O79" s="58"/>
    </row>
    <row r="80" spans="4:20">
      <c r="F80" s="57" t="s">
        <v>64</v>
      </c>
      <c r="G80" s="57"/>
      <c r="H80" s="63">
        <f ca="1">H79/Assumptions!$D$17*100</f>
        <v>328.59572619455787</v>
      </c>
      <c r="I80" s="84"/>
      <c r="L80" s="57" t="s">
        <v>64</v>
      </c>
      <c r="M80" s="57"/>
      <c r="N80" s="83">
        <f ca="1">N79/Assumptions!$D$17*100</f>
        <v>421.61307701076299</v>
      </c>
      <c r="O80" s="84"/>
    </row>
    <row r="81" spans="4:20">
      <c r="F81" s="85" t="s">
        <v>28</v>
      </c>
      <c r="G81" s="42"/>
      <c r="H81" s="324">
        <f ca="1">H80/Assumptions!$D$16-1</f>
        <v>0.9914892496639871</v>
      </c>
      <c r="I81" s="87"/>
      <c r="L81" s="85" t="s">
        <v>28</v>
      </c>
      <c r="M81" s="42"/>
      <c r="N81" s="86">
        <f ca="1">N80/Assumptions!$D$16-1</f>
        <v>1.5552307697622001</v>
      </c>
      <c r="O81" s="87"/>
    </row>
    <row r="82" spans="4:20">
      <c r="H82" s="2"/>
    </row>
    <row r="83" spans="4:20">
      <c r="D83" s="47" t="s">
        <v>11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4:20" ht="4.5" customHeight="1"/>
    <row r="85" spans="4:20">
      <c r="D85" s="37" t="s">
        <v>53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72"/>
    </row>
    <row r="87" spans="4:20" ht="12.75" customHeight="1">
      <c r="E87" s="27" t="s">
        <v>32</v>
      </c>
      <c r="F87" s="107">
        <v>5.0000000000000001E-3</v>
      </c>
      <c r="G87" s="27" t="s">
        <v>54</v>
      </c>
      <c r="I87" s="88">
        <v>2.5000000000000001E-3</v>
      </c>
      <c r="L87" s="27" t="s">
        <v>55</v>
      </c>
      <c r="M87" s="144">
        <v>8.5</v>
      </c>
      <c r="N87" s="27" t="s">
        <v>56</v>
      </c>
      <c r="P87" s="119">
        <v>0.5</v>
      </c>
    </row>
    <row r="88" spans="4:20">
      <c r="E88" s="27" t="s">
        <v>35</v>
      </c>
      <c r="F88" s="26">
        <v>8.5000000000000006E-2</v>
      </c>
      <c r="G88" s="27" t="s">
        <v>57</v>
      </c>
      <c r="I88" s="88">
        <v>5.0000000000000001E-3</v>
      </c>
      <c r="L88" s="27" t="s">
        <v>35</v>
      </c>
      <c r="M88" s="52">
        <f>F88</f>
        <v>8.5000000000000006E-2</v>
      </c>
      <c r="N88" s="27" t="s">
        <v>57</v>
      </c>
      <c r="P88" s="118">
        <f>I88</f>
        <v>5.0000000000000001E-3</v>
      </c>
    </row>
    <row r="90" spans="4:20">
      <c r="E90" s="76" t="s">
        <v>58</v>
      </c>
      <c r="F90" s="76"/>
      <c r="G90" s="76"/>
      <c r="H90" s="76"/>
      <c r="I90" s="76"/>
      <c r="J90" s="76"/>
      <c r="L90" s="76" t="s">
        <v>59</v>
      </c>
      <c r="M90" s="76"/>
      <c r="N90" s="76"/>
      <c r="O90" s="76"/>
      <c r="P90" s="76"/>
      <c r="Q90" s="76"/>
    </row>
    <row r="91" spans="4:20" ht="4.5" customHeight="1"/>
    <row r="92" spans="4:20">
      <c r="E92" s="75" t="s">
        <v>144</v>
      </c>
      <c r="F92" s="37"/>
      <c r="G92" s="37"/>
      <c r="H92" s="37"/>
      <c r="I92" s="37"/>
      <c r="J92" s="37"/>
      <c r="L92" s="75" t="s">
        <v>144</v>
      </c>
      <c r="M92" s="37"/>
      <c r="N92" s="37"/>
      <c r="O92" s="37"/>
      <c r="P92" s="37"/>
      <c r="Q92" s="37"/>
    </row>
    <row r="93" spans="4:20">
      <c r="E93" s="30" t="s">
        <v>60</v>
      </c>
      <c r="F93" s="80" t="s">
        <v>61</v>
      </c>
      <c r="G93" s="50"/>
      <c r="H93" s="50"/>
      <c r="I93" s="50"/>
      <c r="J93" s="51"/>
      <c r="L93" s="30" t="s">
        <v>60</v>
      </c>
      <c r="M93" s="50" t="s">
        <v>62</v>
      </c>
      <c r="N93" s="50"/>
      <c r="O93" s="50"/>
      <c r="P93" s="50"/>
      <c r="Q93" s="51"/>
    </row>
    <row r="94" spans="4:20" ht="12.75" customHeight="1">
      <c r="E94" s="59">
        <f ca="1">H77</f>
        <v>738.52230866675518</v>
      </c>
      <c r="F94" s="60">
        <f>G94-$I$87</f>
        <v>0</v>
      </c>
      <c r="G94" s="60">
        <f>H94-$I$87</f>
        <v>2.5000000000000001E-3</v>
      </c>
      <c r="H94" s="158">
        <f>$F$87</f>
        <v>5.0000000000000001E-3</v>
      </c>
      <c r="I94" s="60">
        <f>H94+$I$87</f>
        <v>7.4999999999999997E-3</v>
      </c>
      <c r="J94" s="61">
        <f>I94+$I$87</f>
        <v>0.01</v>
      </c>
      <c r="L94" s="59">
        <f ca="1">N77</f>
        <v>923.62683679100337</v>
      </c>
      <c r="M94" s="289">
        <f>N94-$P$87</f>
        <v>7.5</v>
      </c>
      <c r="N94" s="289">
        <f>O94-$P$87</f>
        <v>8</v>
      </c>
      <c r="O94" s="290">
        <f>$M$87</f>
        <v>8.5</v>
      </c>
      <c r="P94" s="289">
        <f>O94+$P$87</f>
        <v>9</v>
      </c>
      <c r="Q94" s="291">
        <f>P94+$P$87</f>
        <v>9.5</v>
      </c>
    </row>
    <row r="95" spans="4:20" ht="12.75" customHeight="1">
      <c r="E95" s="28">
        <f>E96-$I$88</f>
        <v>7.4999999999999997E-2</v>
      </c>
      <c r="F95" s="266">
        <f t="dataTable" ref="F95:J99" dt2D="1" dtr="1" r1="F9" r2="F11" ca="1"/>
        <v>822.86661907804967</v>
      </c>
      <c r="G95" s="267">
        <v>839.87012808268537</v>
      </c>
      <c r="H95" s="268">
        <v>858.08817344479507</v>
      </c>
      <c r="I95" s="267">
        <v>877.65570364854261</v>
      </c>
      <c r="J95" s="269">
        <v>898.72842848334767</v>
      </c>
      <c r="L95" s="28">
        <f>L96-$I$88</f>
        <v>7.4999999999999997E-2</v>
      </c>
      <c r="M95" s="292">
        <f t="dataTable" ref="M95:Q99" dt2D="1" dtr="1" r1="F10" r2="F11" ca="1"/>
        <v>919.5101065639335</v>
      </c>
      <c r="N95" s="293">
        <v>956.53295990853894</v>
      </c>
      <c r="O95" s="293">
        <v>993.55581325314415</v>
      </c>
      <c r="P95" s="293">
        <v>1030.5786665977496</v>
      </c>
      <c r="Q95" s="294">
        <v>1067.6015199423548</v>
      </c>
    </row>
    <row r="96" spans="4:20" ht="12.75" customHeight="1">
      <c r="E96" s="28">
        <f>E97-$I$88</f>
        <v>0.08</v>
      </c>
      <c r="F96" s="270">
        <v>764.71902194086692</v>
      </c>
      <c r="G96" s="271">
        <v>779.02140860813802</v>
      </c>
      <c r="H96" s="268">
        <v>794.27728771989405</v>
      </c>
      <c r="I96" s="271">
        <v>810.58529642556425</v>
      </c>
      <c r="J96" s="272">
        <v>828.05816289592519</v>
      </c>
      <c r="L96" s="28">
        <f>L97-$I$88</f>
        <v>0.08</v>
      </c>
      <c r="M96" s="295">
        <v>886.81497794563029</v>
      </c>
      <c r="N96" s="296">
        <v>922.32347295615818</v>
      </c>
      <c r="O96" s="297">
        <v>957.83196796668608</v>
      </c>
      <c r="P96" s="296">
        <v>993.34046297721409</v>
      </c>
      <c r="Q96" s="298">
        <v>1028.8489579877419</v>
      </c>
      <c r="R96" s="67"/>
      <c r="S96" s="67"/>
      <c r="T96" s="67"/>
    </row>
    <row r="97" spans="4:20" ht="12.75" customHeight="1">
      <c r="E97" s="159">
        <f>$F$88</f>
        <v>8.5000000000000006E-2</v>
      </c>
      <c r="F97" s="270">
        <v>713.50345290946461</v>
      </c>
      <c r="G97" s="268">
        <v>725.63380721602971</v>
      </c>
      <c r="H97" s="271">
        <v>738.52230866675518</v>
      </c>
      <c r="I97" s="268">
        <v>752.24232634010809</v>
      </c>
      <c r="J97" s="272">
        <v>766.87701185835112</v>
      </c>
      <c r="L97" s="159">
        <f>$M$88</f>
        <v>8.5000000000000006E-2</v>
      </c>
      <c r="M97" s="295">
        <v>855.50153848489117</v>
      </c>
      <c r="N97" s="297">
        <v>889.56418763794727</v>
      </c>
      <c r="O97" s="296">
        <v>923.62683679100337</v>
      </c>
      <c r="P97" s="297">
        <v>957.68948594405924</v>
      </c>
      <c r="Q97" s="298">
        <v>991.75213509711534</v>
      </c>
      <c r="R97" s="67"/>
      <c r="S97" s="67"/>
      <c r="T97" s="67"/>
    </row>
    <row r="98" spans="4:20" ht="12.75" customHeight="1">
      <c r="E98" s="134">
        <f>E97+$I$88</f>
        <v>9.0000000000000011E-2</v>
      </c>
      <c r="F98" s="270">
        <v>668.06197709209209</v>
      </c>
      <c r="G98" s="271">
        <v>678.42591876204722</v>
      </c>
      <c r="H98" s="268">
        <v>689.39950405964692</v>
      </c>
      <c r="I98" s="271">
        <v>701.03815513285849</v>
      </c>
      <c r="J98" s="272">
        <v>713.40422189814603</v>
      </c>
      <c r="L98" s="134">
        <f>L97+$I$88</f>
        <v>9.0000000000000011E-2</v>
      </c>
      <c r="M98" s="295">
        <v>825.50368287143351</v>
      </c>
      <c r="N98" s="296">
        <v>858.18560444622949</v>
      </c>
      <c r="O98" s="297">
        <v>890.86752602102536</v>
      </c>
      <c r="P98" s="296">
        <v>923.54944759582133</v>
      </c>
      <c r="Q98" s="298">
        <v>956.23136917061731</v>
      </c>
      <c r="R98" s="67"/>
      <c r="S98" s="67"/>
      <c r="T98" s="67"/>
    </row>
    <row r="99" spans="4:20" ht="12.75" customHeight="1">
      <c r="E99" s="135">
        <f>E98+$I$88</f>
        <v>9.5000000000000015E-2</v>
      </c>
      <c r="F99" s="273">
        <v>627.48054304645666</v>
      </c>
      <c r="G99" s="274">
        <v>636.39349557348032</v>
      </c>
      <c r="H99" s="274">
        <v>645.80161212978328</v>
      </c>
      <c r="I99" s="274">
        <v>655.74733534644622</v>
      </c>
      <c r="J99" s="275">
        <v>666.27810110526593</v>
      </c>
      <c r="L99" s="135">
        <f>L98+$I$88</f>
        <v>9.5000000000000015E-2</v>
      </c>
      <c r="M99" s="299">
        <v>796.75879453807238</v>
      </c>
      <c r="N99" s="300">
        <v>828.12189523111351</v>
      </c>
      <c r="O99" s="300">
        <v>859.48499592415442</v>
      </c>
      <c r="P99" s="300">
        <v>890.84809661719532</v>
      </c>
      <c r="Q99" s="301">
        <v>922.21119731023646</v>
      </c>
      <c r="R99" s="67"/>
      <c r="S99" s="67"/>
      <c r="T99" s="67"/>
    </row>
    <row r="101" spans="4:20">
      <c r="E101" s="75" t="s">
        <v>12</v>
      </c>
      <c r="F101" s="37"/>
      <c r="G101" s="37"/>
      <c r="H101" s="37"/>
      <c r="I101" s="37"/>
      <c r="J101" s="37"/>
      <c r="L101" s="75" t="s">
        <v>12</v>
      </c>
      <c r="M101" s="37"/>
      <c r="N101" s="37"/>
      <c r="O101" s="37"/>
      <c r="P101" s="37"/>
      <c r="Q101" s="37"/>
    </row>
    <row r="102" spans="4:20">
      <c r="E102" s="30" t="s">
        <v>60</v>
      </c>
      <c r="F102" s="80" t="s">
        <v>61</v>
      </c>
      <c r="G102" s="50"/>
      <c r="H102" s="50"/>
      <c r="I102" s="50"/>
      <c r="J102" s="51"/>
      <c r="L102" s="30" t="s">
        <v>60</v>
      </c>
      <c r="M102" s="50" t="s">
        <v>62</v>
      </c>
      <c r="N102" s="50"/>
      <c r="O102" s="50"/>
      <c r="P102" s="50"/>
      <c r="Q102" s="51"/>
    </row>
    <row r="103" spans="4:20">
      <c r="E103" s="160">
        <f ca="1">H80</f>
        <v>328.59572619455787</v>
      </c>
      <c r="F103" s="286">
        <f>G103-$I$87</f>
        <v>0</v>
      </c>
      <c r="G103" s="286">
        <f>H103-$I$87</f>
        <v>2.5000000000000001E-3</v>
      </c>
      <c r="H103" s="287">
        <f>$F$87</f>
        <v>5.0000000000000001E-3</v>
      </c>
      <c r="I103" s="286">
        <f>H103+$I$87</f>
        <v>7.4999999999999997E-3</v>
      </c>
      <c r="J103" s="288">
        <f>I103+$I$87</f>
        <v>0.01</v>
      </c>
      <c r="L103" s="160">
        <f ca="1">N80</f>
        <v>421.61307701076299</v>
      </c>
      <c r="M103" s="145">
        <f>N103-$P$87</f>
        <v>7.5</v>
      </c>
      <c r="N103" s="145">
        <f>O103-$P$87</f>
        <v>8</v>
      </c>
      <c r="O103" s="157">
        <f>$M$87</f>
        <v>8.5</v>
      </c>
      <c r="P103" s="145">
        <f>O103+$P$87</f>
        <v>9</v>
      </c>
      <c r="Q103" s="146">
        <f>P103+$P$87</f>
        <v>9.5</v>
      </c>
    </row>
    <row r="104" spans="4:20">
      <c r="E104" s="28">
        <f>E105-$I$88</f>
        <v>7.4999999999999997E-2</v>
      </c>
      <c r="F104" s="276">
        <f>(F95-SUM(Assumptions!$D$19:$D$22))/Assumptions!$D$17*100</f>
        <v>370.97980177812298</v>
      </c>
      <c r="G104" s="277">
        <f>(G95-SUM(Assumptions!$D$19:$D$22))/Assumptions!$D$17*100</f>
        <v>379.52427866487454</v>
      </c>
      <c r="H104" s="278">
        <f>(H95-SUM(Assumptions!$D$19:$D$22))/Assumptions!$D$17*100</f>
        <v>388.6790753292513</v>
      </c>
      <c r="I104" s="277">
        <f>(I95-SUM(Assumptions!$D$19:$D$22))/Assumptions!$D$17*100</f>
        <v>398.51200507987818</v>
      </c>
      <c r="J104" s="279">
        <f>(J95-SUM(Assumptions!$D$19:$D$22))/Assumptions!$D$17*100</f>
        <v>409.10131404209176</v>
      </c>
      <c r="L104" s="28">
        <f>L105-$I$88</f>
        <v>7.4999999999999997E-2</v>
      </c>
      <c r="M104" s="62">
        <f>(M95-SUM(Assumptions!$D$19:$D$22))/Assumptions!$D$17*100</f>
        <v>419.54436835394392</v>
      </c>
      <c r="N104" s="63">
        <f>(N95-SUM(Assumptions!$D$19:$D$22))/Assumptions!$D$17*100</f>
        <v>438.14881727083116</v>
      </c>
      <c r="O104" s="67">
        <f>(O95-SUM(Assumptions!$D$19:$D$22))/Assumptions!$D$17*100</f>
        <v>456.75326618771817</v>
      </c>
      <c r="P104" s="63">
        <f>(P95-SUM(Assumptions!$D$19:$D$22))/Assumptions!$D$17*100</f>
        <v>475.35771510460529</v>
      </c>
      <c r="Q104" s="64">
        <f>(Q95-SUM(Assumptions!$D$19:$D$22))/Assumptions!$D$17*100</f>
        <v>493.96216402149236</v>
      </c>
    </row>
    <row r="105" spans="4:20">
      <c r="E105" s="28">
        <f>E106-$I$88</f>
        <v>0.08</v>
      </c>
      <c r="F105" s="280">
        <f>(F96-SUM(Assumptions!$D$19:$D$22))/Assumptions!$D$17*100</f>
        <v>341.75990371923717</v>
      </c>
      <c r="G105" s="281">
        <f>(G96-SUM(Assumptions!$D$19:$D$22))/Assumptions!$D$17*100</f>
        <v>348.94703269776534</v>
      </c>
      <c r="H105" s="278">
        <f>(H96-SUM(Assumptions!$D$19:$D$22))/Assumptions!$D$17*100</f>
        <v>356.61330360819551</v>
      </c>
      <c r="I105" s="281">
        <f>(I96-SUM(Assumptions!$D$19:$D$22))/Assumptions!$D$17*100</f>
        <v>364.80828285727603</v>
      </c>
      <c r="J105" s="282">
        <f>(J96-SUM(Assumptions!$D$19:$D$22))/Assumptions!$D$17*100</f>
        <v>373.58861776700513</v>
      </c>
      <c r="L105" s="28">
        <f>L106-$I$88</f>
        <v>0.08</v>
      </c>
      <c r="M105" s="65">
        <f>(M96-SUM(Assumptions!$D$19:$D$22))/Assumptions!$D$17*100</f>
        <v>403.11465548042474</v>
      </c>
      <c r="N105" s="66">
        <f>(N96-SUM(Assumptions!$D$19:$D$22))/Assumptions!$D$17*100</f>
        <v>420.95812030983575</v>
      </c>
      <c r="O105" s="67">
        <f>(O96-SUM(Assumptions!$D$19:$D$22))/Assumptions!$D$17*100</f>
        <v>438.80158513924681</v>
      </c>
      <c r="P105" s="66">
        <f>(P96-SUM(Assumptions!$D$19:$D$22))/Assumptions!$D$17*100</f>
        <v>456.64504996865782</v>
      </c>
      <c r="Q105" s="68">
        <f>(Q96-SUM(Assumptions!$D$19:$D$22))/Assumptions!$D$17*100</f>
        <v>474.48851479806882</v>
      </c>
    </row>
    <row r="106" spans="4:20">
      <c r="E106" s="159">
        <f>$F$88</f>
        <v>8.5000000000000006E-2</v>
      </c>
      <c r="F106" s="280">
        <f>(F97-SUM(Assumptions!$D$19:$D$22))/Assumptions!$D$17*100</f>
        <v>316.02343686928623</v>
      </c>
      <c r="G106" s="278">
        <f>(G97-SUM(Assumptions!$D$19:$D$22))/Assumptions!$D$17*100</f>
        <v>322.11909229972099</v>
      </c>
      <c r="H106" s="281">
        <f>(H97-SUM(Assumptions!$D$19:$D$22))/Assumptions!$D$17*100</f>
        <v>328.59572619455787</v>
      </c>
      <c r="I106" s="278">
        <f>(I97-SUM(Assumptions!$D$19:$D$22))/Assumptions!$D$17*100</f>
        <v>335.49020743744882</v>
      </c>
      <c r="J106" s="282">
        <f>(J97-SUM(Assumptions!$D$19:$D$22))/Assumptions!$D$17*100</f>
        <v>342.84432076319905</v>
      </c>
      <c r="L106" s="159">
        <f>$M$88</f>
        <v>8.5000000000000006E-2</v>
      </c>
      <c r="M106" s="65">
        <f>(M97-SUM(Assumptions!$D$19:$D$22))/Assumptions!$D$17*100</f>
        <v>387.37925876648552</v>
      </c>
      <c r="N106" s="67">
        <f>(N97-SUM(Assumptions!$D$19:$D$22))/Assumptions!$D$17*100</f>
        <v>404.49616788862431</v>
      </c>
      <c r="O106" s="66">
        <f>(O97-SUM(Assumptions!$D$19:$D$22))/Assumptions!$D$17*100</f>
        <v>421.61307701076299</v>
      </c>
      <c r="P106" s="67">
        <f>(P97-SUM(Assumptions!$D$19:$D$22))/Assumptions!$D$17*100</f>
        <v>438.72998613290167</v>
      </c>
      <c r="Q106" s="68">
        <f>(Q97-SUM(Assumptions!$D$19:$D$22))/Assumptions!$D$17*100</f>
        <v>455.84689525504035</v>
      </c>
    </row>
    <row r="107" spans="4:20">
      <c r="E107" s="134">
        <f>E106+$I$88</f>
        <v>9.0000000000000011E-2</v>
      </c>
      <c r="F107" s="280">
        <f>(F98-SUM(Assumptions!$D$19:$D$22))/Assumptions!$D$17*100</f>
        <v>293.18852439824479</v>
      </c>
      <c r="G107" s="281">
        <f>(G98-SUM(Assumptions!$D$19:$D$22))/Assumptions!$D$17*100</f>
        <v>298.39653528766945</v>
      </c>
      <c r="H107" s="278">
        <f>(H98-SUM(Assumptions!$D$19:$D$22))/Assumptions!$D$17*100</f>
        <v>303.91089975882505</v>
      </c>
      <c r="I107" s="281">
        <f>(I98-SUM(Assumptions!$D$19:$D$22))/Assumptions!$D$17*100</f>
        <v>309.75946813732338</v>
      </c>
      <c r="J107" s="282">
        <f>(J98-SUM(Assumptions!$D$19:$D$22))/Assumptions!$D$17*100</f>
        <v>315.97357203947792</v>
      </c>
      <c r="L107" s="134">
        <f>L106+$I$88</f>
        <v>9.0000000000000011E-2</v>
      </c>
      <c r="M107" s="65">
        <f>(M98-SUM(Assumptions!$D$19:$D$22))/Assumptions!$D$17*100</f>
        <v>372.30495946324049</v>
      </c>
      <c r="N107" s="66">
        <f>(N98-SUM(Assumptions!$D$19:$D$22))/Assumptions!$D$17*100</f>
        <v>388.72803563147966</v>
      </c>
      <c r="O107" s="67">
        <f>(O98-SUM(Assumptions!$D$19:$D$22))/Assumptions!$D$17*100</f>
        <v>405.15111179971876</v>
      </c>
      <c r="P107" s="66">
        <f>(P98-SUM(Assumptions!$D$19:$D$22))/Assumptions!$D$17*100</f>
        <v>421.57418796795793</v>
      </c>
      <c r="Q107" s="68">
        <f>(Q98-SUM(Assumptions!$D$19:$D$22))/Assumptions!$D$17*100</f>
        <v>437.99726413619709</v>
      </c>
    </row>
    <row r="108" spans="4:20">
      <c r="E108" s="135">
        <f>E107+$I$88</f>
        <v>9.5000000000000015E-2</v>
      </c>
      <c r="F108" s="283">
        <f>(F99-SUM(Assumptions!$D$19:$D$22))/Assumptions!$D$17*100</f>
        <v>272.79584397330234</v>
      </c>
      <c r="G108" s="284">
        <f>(G99-SUM(Assumptions!$D$19:$D$22))/Assumptions!$D$17*100</f>
        <v>277.27471458989714</v>
      </c>
      <c r="H108" s="284">
        <f>(H99-SUM(Assumptions!$D$19:$D$22))/Assumptions!$D$17*100</f>
        <v>282.00241135185843</v>
      </c>
      <c r="I108" s="284">
        <f>(I99-SUM(Assumptions!$D$19:$D$22))/Assumptions!$D$17*100</f>
        <v>287.00026221450315</v>
      </c>
      <c r="J108" s="285">
        <f>(J99-SUM(Assumptions!$D$19:$D$22))/Assumptions!$D$17*100</f>
        <v>292.29210430436228</v>
      </c>
      <c r="L108" s="135">
        <f>L107+$I$88</f>
        <v>9.5000000000000015E-2</v>
      </c>
      <c r="M108" s="69">
        <f>(M99-SUM(Assumptions!$D$19:$D$22))/Assumptions!$D$17*100</f>
        <v>357.86029195903888</v>
      </c>
      <c r="N108" s="70">
        <f>(N99-SUM(Assumptions!$D$19:$D$22))/Assumptions!$D$17*100</f>
        <v>373.62064406609477</v>
      </c>
      <c r="O108" s="70">
        <f>(O99-SUM(Assumptions!$D$19:$D$22))/Assumptions!$D$17*100</f>
        <v>389.38099617315049</v>
      </c>
      <c r="P108" s="70">
        <f>(P99-SUM(Assumptions!$D$19:$D$22))/Assumptions!$D$17*100</f>
        <v>405.14134828020616</v>
      </c>
      <c r="Q108" s="71">
        <f>(Q99-SUM(Assumptions!$D$19:$D$22))/Assumptions!$D$17*100</f>
        <v>420.90170038726205</v>
      </c>
    </row>
    <row r="110" spans="4:20">
      <c r="D110" s="90" t="s">
        <v>13</v>
      </c>
      <c r="E110" s="92"/>
      <c r="F110" s="93"/>
      <c r="G110" s="91"/>
      <c r="H110" s="92"/>
      <c r="I110" s="93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253"/>
    </row>
    <row r="111" spans="4:20">
      <c r="D111" s="72" t="str">
        <f>TEXT(Assumptions!$D$11,"mmmm")&amp;" YE ($mm)"</f>
        <v>March YE ($mm)</v>
      </c>
      <c r="E111" s="101"/>
      <c r="F111" s="102">
        <f t="shared" ref="F111:S111" si="55">F22</f>
        <v>42825</v>
      </c>
      <c r="G111" s="102">
        <f t="shared" si="55"/>
        <v>43190</v>
      </c>
      <c r="H111" s="147">
        <f t="shared" si="55"/>
        <v>43555</v>
      </c>
      <c r="I111" s="147">
        <f t="shared" si="55"/>
        <v>43921</v>
      </c>
      <c r="J111" s="147">
        <f t="shared" si="55"/>
        <v>44286</v>
      </c>
      <c r="K111" s="147">
        <f t="shared" si="55"/>
        <v>44651</v>
      </c>
      <c r="L111" s="147">
        <f t="shared" si="55"/>
        <v>45016</v>
      </c>
      <c r="M111" s="147">
        <f t="shared" si="55"/>
        <v>45382</v>
      </c>
      <c r="N111" s="147">
        <f t="shared" si="55"/>
        <v>45747</v>
      </c>
      <c r="O111" s="147">
        <f t="shared" si="55"/>
        <v>46112</v>
      </c>
      <c r="P111" s="147">
        <f t="shared" si="55"/>
        <v>46477</v>
      </c>
      <c r="Q111" s="147">
        <f t="shared" si="55"/>
        <v>46843</v>
      </c>
      <c r="R111" s="147">
        <f t="shared" si="55"/>
        <v>47208</v>
      </c>
      <c r="S111" s="147">
        <f t="shared" si="55"/>
        <v>47573</v>
      </c>
      <c r="T111" s="147"/>
    </row>
    <row r="112" spans="4:20">
      <c r="D112" s="39" t="s">
        <v>3</v>
      </c>
      <c r="E112" s="95"/>
      <c r="F112" s="121">
        <f t="shared" ref="F112:S112" si="56">F27</f>
        <v>108.7</v>
      </c>
      <c r="G112" s="121">
        <f t="shared" si="56"/>
        <v>109.5</v>
      </c>
      <c r="H112" s="121">
        <f t="shared" si="56"/>
        <v>98.2</v>
      </c>
      <c r="I112" s="121">
        <f t="shared" si="56"/>
        <v>94.147209662938664</v>
      </c>
      <c r="J112" s="121">
        <f t="shared" si="56"/>
        <v>8.2024042733811307</v>
      </c>
      <c r="K112" s="121">
        <f t="shared" si="56"/>
        <v>111.79673623719195</v>
      </c>
      <c r="L112" s="121">
        <f t="shared" si="56"/>
        <v>124.39494101920255</v>
      </c>
      <c r="M112" s="121">
        <f t="shared" si="56"/>
        <v>127.56812935492377</v>
      </c>
      <c r="N112" s="121">
        <f t="shared" ca="1" si="56"/>
        <v>130.50500120625895</v>
      </c>
      <c r="O112" s="121">
        <f t="shared" ca="1" si="56"/>
        <v>133.24653965896459</v>
      </c>
      <c r="P112" s="121">
        <f t="shared" ca="1" si="56"/>
        <v>135.77721189939695</v>
      </c>
      <c r="Q112" s="121">
        <f t="shared" ca="1" si="56"/>
        <v>138.08240265835985</v>
      </c>
      <c r="R112" s="121">
        <f t="shared" ca="1" si="56"/>
        <v>140.14855300014</v>
      </c>
      <c r="S112" s="121">
        <f t="shared" ca="1" si="56"/>
        <v>141.96329165512003</v>
      </c>
      <c r="T112" s="121"/>
    </row>
    <row r="113" spans="4:20">
      <c r="D113" s="40" t="s">
        <v>1</v>
      </c>
      <c r="E113" s="96"/>
      <c r="F113" s="123">
        <f>F112/F$24</f>
        <v>9.9269406392694062E-2</v>
      </c>
      <c r="G113" s="123">
        <f t="shared" ref="G113:R113" si="57">G112/G$24</f>
        <v>9.6467271606025903E-2</v>
      </c>
      <c r="H113" s="123">
        <f t="shared" si="57"/>
        <v>8.6246267345863353E-2</v>
      </c>
      <c r="I113" s="123">
        <f t="shared" si="57"/>
        <v>8.1921904398916168E-2</v>
      </c>
      <c r="J113" s="123">
        <f t="shared" si="57"/>
        <v>7.4567311576192096E-3</v>
      </c>
      <c r="K113" s="123">
        <f t="shared" si="57"/>
        <v>8.2577669530744205E-2</v>
      </c>
      <c r="L113" s="123">
        <f t="shared" si="57"/>
        <v>8.5968935047082973E-2</v>
      </c>
      <c r="M113" s="123">
        <f t="shared" si="57"/>
        <v>8.8428067672377098E-2</v>
      </c>
      <c r="N113" s="123">
        <f t="shared" ca="1" si="57"/>
        <v>8.8690056393647562E-2</v>
      </c>
      <c r="O113" s="123">
        <f t="shared" ca="1" si="57"/>
        <v>8.8952045114918027E-2</v>
      </c>
      <c r="P113" s="123">
        <f t="shared" ca="1" si="57"/>
        <v>8.9214033836188505E-2</v>
      </c>
      <c r="Q113" s="123">
        <f t="shared" ca="1" si="57"/>
        <v>8.9476022557458998E-2</v>
      </c>
      <c r="R113" s="123">
        <f t="shared" ca="1" si="57"/>
        <v>8.9738011278729504E-2</v>
      </c>
      <c r="S113" s="123">
        <f t="shared" ref="S113" ca="1" si="58">S112/S$24</f>
        <v>0.09</v>
      </c>
      <c r="T113" s="123"/>
    </row>
    <row r="114" spans="4:20">
      <c r="D114" s="39" t="s">
        <v>4</v>
      </c>
      <c r="E114" s="96"/>
      <c r="F114" s="122">
        <f t="shared" ref="F114:S114" si="59">F46</f>
        <v>0</v>
      </c>
      <c r="G114" s="122">
        <f t="shared" si="59"/>
        <v>0</v>
      </c>
      <c r="H114" s="122">
        <f t="shared" si="59"/>
        <v>0</v>
      </c>
      <c r="I114" s="122">
        <f t="shared" si="59"/>
        <v>36.129215400000028</v>
      </c>
      <c r="J114" s="122">
        <f t="shared" si="59"/>
        <v>40.455293523349013</v>
      </c>
      <c r="K114" s="122">
        <f t="shared" si="59"/>
        <v>47.195257615808728</v>
      </c>
      <c r="L114" s="122">
        <f t="shared" si="59"/>
        <v>51.82954358756416</v>
      </c>
      <c r="M114" s="122">
        <f t="shared" si="59"/>
        <v>54.799912142159201</v>
      </c>
      <c r="N114" s="122">
        <f t="shared" ca="1" si="59"/>
        <v>53.583260118466001</v>
      </c>
      <c r="O114" s="122">
        <f t="shared" ca="1" si="59"/>
        <v>52.366608094772801</v>
      </c>
      <c r="P114" s="122">
        <f t="shared" ca="1" si="59"/>
        <v>51.1499560710796</v>
      </c>
      <c r="Q114" s="122">
        <f t="shared" ca="1" si="59"/>
        <v>49.9333040473864</v>
      </c>
      <c r="R114" s="122">
        <f t="shared" ca="1" si="59"/>
        <v>48.7166520236932</v>
      </c>
      <c r="S114" s="122">
        <f t="shared" ca="1" si="59"/>
        <v>47.5</v>
      </c>
      <c r="T114" s="122"/>
    </row>
    <row r="115" spans="4:20">
      <c r="D115" s="40" t="s">
        <v>37</v>
      </c>
      <c r="E115" s="96"/>
      <c r="F115" s="123">
        <f t="shared" ref="F115:S115" si="60">-F114/F48</f>
        <v>0</v>
      </c>
      <c r="G115" s="123">
        <f t="shared" si="60"/>
        <v>0</v>
      </c>
      <c r="H115" s="123">
        <f t="shared" si="60"/>
        <v>0</v>
      </c>
      <c r="I115" s="123">
        <f t="shared" si="60"/>
        <v>1.0035893166666674</v>
      </c>
      <c r="J115" s="123">
        <f t="shared" si="60"/>
        <v>0.79324104947743168</v>
      </c>
      <c r="K115" s="123">
        <f t="shared" si="60"/>
        <v>0.94390515231617456</v>
      </c>
      <c r="L115" s="123">
        <f t="shared" si="60"/>
        <v>1.0365908717512833</v>
      </c>
      <c r="M115" s="123">
        <f t="shared" si="60"/>
        <v>1.095998242843184</v>
      </c>
      <c r="N115" s="123">
        <f t="shared" ca="1" si="60"/>
        <v>1.0716652023693201</v>
      </c>
      <c r="O115" s="123">
        <f t="shared" ca="1" si="60"/>
        <v>1.0473321618954561</v>
      </c>
      <c r="P115" s="123">
        <f t="shared" ca="1" si="60"/>
        <v>1.0229991214215921</v>
      </c>
      <c r="Q115" s="123">
        <f t="shared" ca="1" si="60"/>
        <v>0.99866608094772802</v>
      </c>
      <c r="R115" s="123">
        <f t="shared" ca="1" si="60"/>
        <v>0.97433304047386404</v>
      </c>
      <c r="S115" s="123">
        <f t="shared" ca="1" si="60"/>
        <v>0.95</v>
      </c>
      <c r="T115" s="123"/>
    </row>
    <row r="116" spans="4:20" ht="12.75" customHeight="1">
      <c r="D116" s="39" t="s">
        <v>5</v>
      </c>
      <c r="E116" s="94"/>
      <c r="F116" s="121">
        <f t="shared" ref="F116:S116" si="61">F35</f>
        <v>77.099999999999994</v>
      </c>
      <c r="G116" s="121">
        <f t="shared" si="61"/>
        <v>74.599999999999994</v>
      </c>
      <c r="H116" s="121">
        <f t="shared" si="61"/>
        <v>62.2</v>
      </c>
      <c r="I116" s="121">
        <f t="shared" si="61"/>
        <v>58.017994262938636</v>
      </c>
      <c r="J116" s="121">
        <f t="shared" si="61"/>
        <v>-32.252889249967879</v>
      </c>
      <c r="K116" s="121">
        <f t="shared" si="61"/>
        <v>64.601478621383222</v>
      </c>
      <c r="L116" s="121">
        <f t="shared" si="61"/>
        <v>72.565397431638388</v>
      </c>
      <c r="M116" s="121">
        <f t="shared" si="61"/>
        <v>72.768217212764569</v>
      </c>
      <c r="N116" s="121">
        <f t="shared" ca="1" si="61"/>
        <v>76.921741087792952</v>
      </c>
      <c r="O116" s="121">
        <f t="shared" ca="1" si="61"/>
        <v>80.879931564191793</v>
      </c>
      <c r="P116" s="121">
        <f t="shared" ca="1" si="61"/>
        <v>84.627255828317345</v>
      </c>
      <c r="Q116" s="121">
        <f t="shared" ca="1" si="61"/>
        <v>88.149098610973454</v>
      </c>
      <c r="R116" s="121">
        <f t="shared" ca="1" si="61"/>
        <v>91.431900976446798</v>
      </c>
      <c r="S116" s="121">
        <f t="shared" ca="1" si="61"/>
        <v>94.463291655120031</v>
      </c>
      <c r="T116" s="121"/>
    </row>
    <row r="117" spans="4:20">
      <c r="D117" s="40" t="s">
        <v>1</v>
      </c>
      <c r="E117" s="97"/>
      <c r="F117" s="123">
        <f>F116/F$24</f>
        <v>7.0410958904109588E-2</v>
      </c>
      <c r="G117" s="123">
        <f t="shared" ref="G117:R117" si="62">G116/G$24</f>
        <v>6.5721081843009427E-2</v>
      </c>
      <c r="H117" s="123">
        <f t="shared" si="62"/>
        <v>5.4628491129457238E-2</v>
      </c>
      <c r="I117" s="123">
        <f t="shared" si="62"/>
        <v>5.0484178941060394E-2</v>
      </c>
      <c r="J117" s="123">
        <f t="shared" si="62"/>
        <v>-2.9320808409061708E-2</v>
      </c>
      <c r="K117" s="123">
        <f t="shared" si="62"/>
        <v>4.7717310293172235E-2</v>
      </c>
      <c r="L117" s="123">
        <f t="shared" si="62"/>
        <v>5.0149707756228443E-2</v>
      </c>
      <c r="M117" s="123">
        <f t="shared" si="62"/>
        <v>5.0441696281252384E-2</v>
      </c>
      <c r="N117" s="123">
        <f t="shared" ca="1" si="62"/>
        <v>5.2275341878980225E-2</v>
      </c>
      <c r="O117" s="123">
        <f t="shared" ca="1" si="62"/>
        <v>5.3993412060104044E-2</v>
      </c>
      <c r="P117" s="123">
        <f t="shared" ca="1" si="62"/>
        <v>5.5605346135147865E-2</v>
      </c>
      <c r="Q117" s="123">
        <f t="shared" ca="1" si="62"/>
        <v>5.7119738532139641E-2</v>
      </c>
      <c r="R117" s="123">
        <f t="shared" ca="1" si="62"/>
        <v>5.8544428646736479E-2</v>
      </c>
      <c r="S117" s="123">
        <f t="shared" ref="S117" ca="1" si="63">S116/S$24</f>
        <v>5.988658159332122E-2</v>
      </c>
      <c r="T117" s="123"/>
    </row>
    <row r="118" spans="4:20">
      <c r="D118" s="39" t="s">
        <v>10</v>
      </c>
      <c r="E118" s="97"/>
      <c r="F118" s="122">
        <f t="shared" ref="F118:S118" si="64">F39</f>
        <v>0</v>
      </c>
      <c r="G118" s="122">
        <f t="shared" si="64"/>
        <v>0</v>
      </c>
      <c r="H118" s="122">
        <f t="shared" si="64"/>
        <v>0</v>
      </c>
      <c r="I118" s="122">
        <f t="shared" si="64"/>
        <v>-11.023418909958341</v>
      </c>
      <c r="J118" s="122">
        <f t="shared" si="64"/>
        <v>5.4829911724945397</v>
      </c>
      <c r="K118" s="122">
        <f t="shared" si="64"/>
        <v>-10.982251365635149</v>
      </c>
      <c r="L118" s="122">
        <f t="shared" si="64"/>
        <v>-12.336117563378528</v>
      </c>
      <c r="M118" s="122">
        <f t="shared" si="64"/>
        <v>-12.370596926169977</v>
      </c>
      <c r="N118" s="122">
        <f t="shared" ca="1" si="64"/>
        <v>-13.076695984924802</v>
      </c>
      <c r="O118" s="122">
        <f t="shared" ca="1" si="64"/>
        <v>-13.749588365912606</v>
      </c>
      <c r="P118" s="122">
        <f t="shared" ca="1" si="64"/>
        <v>-14.386633490813949</v>
      </c>
      <c r="Q118" s="122">
        <f t="shared" ca="1" si="64"/>
        <v>-14.985346763865488</v>
      </c>
      <c r="R118" s="122">
        <f t="shared" ca="1" si="64"/>
        <v>-15.543423165995957</v>
      </c>
      <c r="S118" s="122">
        <f t="shared" ca="1" si="64"/>
        <v>-16.058759581370406</v>
      </c>
      <c r="T118" s="122"/>
    </row>
    <row r="119" spans="4:20">
      <c r="D119" s="40" t="s">
        <v>65</v>
      </c>
      <c r="E119" s="97"/>
      <c r="F119" s="123">
        <f t="shared" ref="F119:S119" si="65">F40</f>
        <v>0</v>
      </c>
      <c r="G119" s="123">
        <f t="shared" si="65"/>
        <v>0</v>
      </c>
      <c r="H119" s="123">
        <f t="shared" si="65"/>
        <v>0</v>
      </c>
      <c r="I119" s="123">
        <f t="shared" si="65"/>
        <v>0.19</v>
      </c>
      <c r="J119" s="123">
        <f t="shared" si="65"/>
        <v>0.17</v>
      </c>
      <c r="K119" s="123">
        <f t="shared" si="65"/>
        <v>0.17</v>
      </c>
      <c r="L119" s="123">
        <f t="shared" si="65"/>
        <v>0.17</v>
      </c>
      <c r="M119" s="123">
        <f t="shared" si="65"/>
        <v>0.17</v>
      </c>
      <c r="N119" s="123">
        <f t="shared" si="65"/>
        <v>0.17</v>
      </c>
      <c r="O119" s="123">
        <f t="shared" si="65"/>
        <v>0.17</v>
      </c>
      <c r="P119" s="123">
        <f t="shared" si="65"/>
        <v>0.17</v>
      </c>
      <c r="Q119" s="123">
        <f t="shared" si="65"/>
        <v>0.17</v>
      </c>
      <c r="R119" s="123">
        <f t="shared" si="65"/>
        <v>0.17</v>
      </c>
      <c r="S119" s="123">
        <f t="shared" si="65"/>
        <v>0.17</v>
      </c>
      <c r="T119" s="123"/>
    </row>
    <row r="120" spans="4:20">
      <c r="D120" s="39" t="s">
        <v>38</v>
      </c>
      <c r="E120" s="97"/>
      <c r="F120" s="122">
        <f t="shared" ref="F120:S120" si="66">F42</f>
        <v>0</v>
      </c>
      <c r="G120" s="122">
        <f t="shared" si="66"/>
        <v>0</v>
      </c>
      <c r="H120" s="122">
        <f t="shared" si="66"/>
        <v>0</v>
      </c>
      <c r="I120" s="122">
        <f t="shared" si="66"/>
        <v>46.994575352980291</v>
      </c>
      <c r="J120" s="122">
        <f t="shared" si="66"/>
        <v>-26.769898077473339</v>
      </c>
      <c r="K120" s="122">
        <f t="shared" si="66"/>
        <v>53.619227255748072</v>
      </c>
      <c r="L120" s="122">
        <f t="shared" si="66"/>
        <v>60.229279868259859</v>
      </c>
      <c r="M120" s="122">
        <f t="shared" si="66"/>
        <v>60.397620286594588</v>
      </c>
      <c r="N120" s="122">
        <f t="shared" ca="1" si="66"/>
        <v>63.845045102868148</v>
      </c>
      <c r="O120" s="122">
        <f t="shared" ca="1" si="66"/>
        <v>67.130343198279192</v>
      </c>
      <c r="P120" s="122">
        <f t="shared" ca="1" si="66"/>
        <v>70.240622337503396</v>
      </c>
      <c r="Q120" s="122">
        <f t="shared" ca="1" si="66"/>
        <v>73.16375184710796</v>
      </c>
      <c r="R120" s="122">
        <f t="shared" ca="1" si="66"/>
        <v>75.888477810450837</v>
      </c>
      <c r="S120" s="122">
        <f t="shared" ca="1" si="66"/>
        <v>78.404532073749621</v>
      </c>
      <c r="T120" s="122"/>
    </row>
    <row r="121" spans="4:20">
      <c r="D121" s="109" t="s">
        <v>71</v>
      </c>
      <c r="E121" s="97"/>
      <c r="F121" s="122">
        <f t="shared" ref="F121:S121" si="67">-F31</f>
        <v>31.600000000000009</v>
      </c>
      <c r="G121" s="122">
        <f t="shared" si="67"/>
        <v>34.900000000000006</v>
      </c>
      <c r="H121" s="122">
        <f t="shared" si="67"/>
        <v>36</v>
      </c>
      <c r="I121" s="122">
        <f t="shared" si="67"/>
        <v>36.129215400000028</v>
      </c>
      <c r="J121" s="122">
        <f t="shared" si="67"/>
        <v>40.455293523349013</v>
      </c>
      <c r="K121" s="122">
        <f t="shared" si="67"/>
        <v>47.195257615808728</v>
      </c>
      <c r="L121" s="122">
        <f t="shared" si="67"/>
        <v>51.82954358756416</v>
      </c>
      <c r="M121" s="122">
        <f t="shared" si="67"/>
        <v>54.799912142159201</v>
      </c>
      <c r="N121" s="122">
        <f t="shared" ca="1" si="67"/>
        <v>53.583260118466001</v>
      </c>
      <c r="O121" s="122">
        <f t="shared" ca="1" si="67"/>
        <v>52.366608094772801</v>
      </c>
      <c r="P121" s="122">
        <f t="shared" ca="1" si="67"/>
        <v>51.1499560710796</v>
      </c>
      <c r="Q121" s="122">
        <f t="shared" ca="1" si="67"/>
        <v>49.9333040473864</v>
      </c>
      <c r="R121" s="122">
        <f t="shared" ca="1" si="67"/>
        <v>48.7166520236932</v>
      </c>
      <c r="S121" s="122">
        <f t="shared" ca="1" si="67"/>
        <v>47.5</v>
      </c>
      <c r="T121" s="122"/>
    </row>
    <row r="122" spans="4:20">
      <c r="D122" s="109" t="s">
        <v>132</v>
      </c>
      <c r="E122" s="97"/>
      <c r="F122" s="122">
        <f t="shared" ref="F122:S122" si="68">F48</f>
        <v>-36.1</v>
      </c>
      <c r="G122" s="122">
        <f t="shared" si="68"/>
        <v>-37.299999999999997</v>
      </c>
      <c r="H122" s="122">
        <f t="shared" si="68"/>
        <v>-31</v>
      </c>
      <c r="I122" s="122">
        <f t="shared" si="68"/>
        <v>-36</v>
      </c>
      <c r="J122" s="122">
        <f t="shared" si="68"/>
        <v>-51</v>
      </c>
      <c r="K122" s="122">
        <f t="shared" si="68"/>
        <v>-50</v>
      </c>
      <c r="L122" s="122">
        <f t="shared" si="68"/>
        <v>-50</v>
      </c>
      <c r="M122" s="122">
        <f t="shared" si="68"/>
        <v>-50</v>
      </c>
      <c r="N122" s="122">
        <f t="shared" si="68"/>
        <v>-50</v>
      </c>
      <c r="O122" s="122">
        <f t="shared" si="68"/>
        <v>-50</v>
      </c>
      <c r="P122" s="122">
        <f t="shared" si="68"/>
        <v>-50</v>
      </c>
      <c r="Q122" s="122">
        <f t="shared" si="68"/>
        <v>-50</v>
      </c>
      <c r="R122" s="122">
        <f t="shared" si="68"/>
        <v>-50</v>
      </c>
      <c r="S122" s="122">
        <f t="shared" si="68"/>
        <v>-50</v>
      </c>
      <c r="T122" s="122"/>
    </row>
    <row r="123" spans="4:20">
      <c r="D123" s="109" t="s">
        <v>72</v>
      </c>
      <c r="E123" s="97"/>
      <c r="F123" s="122">
        <f t="shared" ref="F123:S123" si="69">F52</f>
        <v>-16.300000000000004</v>
      </c>
      <c r="G123" s="122">
        <f t="shared" si="69"/>
        <v>-12.6</v>
      </c>
      <c r="H123" s="121">
        <f t="shared" si="69"/>
        <v>-10.399999999999999</v>
      </c>
      <c r="I123" s="121">
        <f t="shared" si="69"/>
        <v>6</v>
      </c>
      <c r="J123" s="121">
        <f t="shared" si="69"/>
        <v>16.111954440903407</v>
      </c>
      <c r="K123" s="121">
        <f t="shared" si="69"/>
        <v>15.168892666804709</v>
      </c>
      <c r="L123" s="121">
        <f t="shared" si="69"/>
        <v>11.110216900668604</v>
      </c>
      <c r="M123" s="121">
        <f t="shared" si="69"/>
        <v>3.9548595532390358</v>
      </c>
      <c r="N123" s="121">
        <f t="shared" si="69"/>
        <v>0</v>
      </c>
      <c r="O123" s="121">
        <f t="shared" ca="1" si="69"/>
        <v>0</v>
      </c>
      <c r="P123" s="121">
        <f t="shared" ca="1" si="69"/>
        <v>0</v>
      </c>
      <c r="Q123" s="121">
        <f t="shared" ca="1" si="69"/>
        <v>0</v>
      </c>
      <c r="R123" s="121">
        <f t="shared" ca="1" si="69"/>
        <v>0</v>
      </c>
      <c r="S123" s="121">
        <f t="shared" ca="1" si="69"/>
        <v>0</v>
      </c>
      <c r="T123" s="121"/>
    </row>
    <row r="124" spans="4:20">
      <c r="D124" s="109" t="s">
        <v>133</v>
      </c>
      <c r="E124" s="97"/>
      <c r="F124" s="122">
        <f t="shared" ref="F124:S124" si="70">+F58</f>
        <v>0</v>
      </c>
      <c r="G124" s="122">
        <f t="shared" si="70"/>
        <v>0</v>
      </c>
      <c r="H124" s="122">
        <f t="shared" si="70"/>
        <v>0</v>
      </c>
      <c r="I124" s="122">
        <f t="shared" si="70"/>
        <v>0</v>
      </c>
      <c r="J124" s="122">
        <f t="shared" si="70"/>
        <v>-18.004468664734777</v>
      </c>
      <c r="K124" s="122">
        <f t="shared" si="70"/>
        <v>-6.7527180429793674</v>
      </c>
      <c r="L124" s="122">
        <f t="shared" si="70"/>
        <v>25.138454026318882</v>
      </c>
      <c r="M124" s="122">
        <f t="shared" si="70"/>
        <v>-4.8650405710493061</v>
      </c>
      <c r="N124" s="122">
        <f t="shared" si="70"/>
        <v>0</v>
      </c>
      <c r="O124" s="122">
        <f t="shared" si="70"/>
        <v>0</v>
      </c>
      <c r="P124" s="122">
        <f t="shared" si="70"/>
        <v>0</v>
      </c>
      <c r="Q124" s="122">
        <f t="shared" si="70"/>
        <v>0</v>
      </c>
      <c r="R124" s="122">
        <f t="shared" si="70"/>
        <v>0</v>
      </c>
      <c r="S124" s="122">
        <f t="shared" si="70"/>
        <v>0</v>
      </c>
      <c r="T124" s="121"/>
    </row>
    <row r="125" spans="4:20">
      <c r="D125" s="109" t="s">
        <v>134</v>
      </c>
      <c r="E125" s="97"/>
      <c r="F125" s="122">
        <f t="shared" ref="F125:S125" si="71">+F55</f>
        <v>0</v>
      </c>
      <c r="G125" s="122">
        <f t="shared" si="71"/>
        <v>-1.5</v>
      </c>
      <c r="H125" s="122">
        <f t="shared" si="71"/>
        <v>0.74</v>
      </c>
      <c r="I125" s="122">
        <f t="shared" si="71"/>
        <v>0</v>
      </c>
      <c r="J125" s="122">
        <f t="shared" si="71"/>
        <v>0</v>
      </c>
      <c r="K125" s="122">
        <f t="shared" si="71"/>
        <v>-5</v>
      </c>
      <c r="L125" s="122">
        <f t="shared" si="71"/>
        <v>-5</v>
      </c>
      <c r="M125" s="122">
        <f t="shared" si="71"/>
        <v>-5</v>
      </c>
      <c r="N125" s="122">
        <f t="shared" si="71"/>
        <v>-5</v>
      </c>
      <c r="O125" s="122">
        <f t="shared" si="71"/>
        <v>-5</v>
      </c>
      <c r="P125" s="122">
        <f t="shared" si="71"/>
        <v>-5</v>
      </c>
      <c r="Q125" s="122">
        <f t="shared" si="71"/>
        <v>-5</v>
      </c>
      <c r="R125" s="122">
        <f t="shared" si="71"/>
        <v>-5</v>
      </c>
      <c r="S125" s="122">
        <f t="shared" si="71"/>
        <v>-5</v>
      </c>
      <c r="T125" s="121"/>
    </row>
    <row r="126" spans="4:20">
      <c r="D126" s="40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</row>
    <row r="127" spans="4:20">
      <c r="D127" s="99" t="s">
        <v>40</v>
      </c>
      <c r="E127" s="100"/>
      <c r="F127" s="131">
        <f>SUM(F120:F125)</f>
        <v>-20.799999999999997</v>
      </c>
      <c r="G127" s="131">
        <f t="shared" ref="G127:S127" si="72">SUM(G120:G125)</f>
        <v>-16.499999999999993</v>
      </c>
      <c r="H127" s="131">
        <f t="shared" si="72"/>
        <v>-4.6599999999999984</v>
      </c>
      <c r="I127" s="131">
        <f t="shared" si="72"/>
        <v>53.123790752980312</v>
      </c>
      <c r="J127" s="131">
        <f>SUM(J120:J125)</f>
        <v>-39.207118777955699</v>
      </c>
      <c r="K127" s="131">
        <f t="shared" si="72"/>
        <v>54.230659495382142</v>
      </c>
      <c r="L127" s="131">
        <f t="shared" si="72"/>
        <v>93.307494382811498</v>
      </c>
      <c r="M127" s="131">
        <f t="shared" si="72"/>
        <v>59.287351410943515</v>
      </c>
      <c r="N127" s="131">
        <f t="shared" ca="1" si="72"/>
        <v>62.428305221334142</v>
      </c>
      <c r="O127" s="131">
        <f t="shared" ca="1" si="72"/>
        <v>64.496951293051993</v>
      </c>
      <c r="P127" s="131">
        <f t="shared" ca="1" si="72"/>
        <v>66.390578408582996</v>
      </c>
      <c r="Q127" s="131">
        <f t="shared" ca="1" si="72"/>
        <v>68.09705589449436</v>
      </c>
      <c r="R127" s="131">
        <f t="shared" ca="1" si="72"/>
        <v>69.605129834144037</v>
      </c>
      <c r="S127" s="131">
        <f t="shared" ca="1" si="72"/>
        <v>70.904532073749621</v>
      </c>
      <c r="T127" s="131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tabSelected="1" topLeftCell="A31" zoomScaleNormal="100" workbookViewId="0">
      <selection activeCell="I47" sqref="I47"/>
    </sheetView>
  </sheetViews>
  <sheetFormatPr defaultColWidth="8.85546875" defaultRowHeight="12.75"/>
  <cols>
    <col min="1" max="2" width="2.7109375" style="171" customWidth="1"/>
    <col min="3" max="5" width="12" style="171" customWidth="1"/>
    <col min="6" max="7" width="9.140625" style="171"/>
    <col min="8" max="8" width="0.85546875" style="171" customWidth="1"/>
    <col min="9" max="19" width="12.7109375" style="171" customWidth="1"/>
    <col min="20" max="253" width="9.140625" style="171"/>
    <col min="254" max="255" width="2.7109375" style="171" customWidth="1"/>
    <col min="256" max="258" width="12" style="171" customWidth="1"/>
    <col min="259" max="260" width="9.140625" style="171"/>
    <col min="261" max="261" width="0.85546875" style="171" customWidth="1"/>
    <col min="262" max="275" width="7.7109375" style="171" customWidth="1"/>
    <col min="276" max="509" width="9.140625" style="171"/>
    <col min="510" max="511" width="2.7109375" style="171" customWidth="1"/>
    <col min="512" max="514" width="12" style="171" customWidth="1"/>
    <col min="515" max="516" width="9.140625" style="171"/>
    <col min="517" max="517" width="0.85546875" style="171" customWidth="1"/>
    <col min="518" max="531" width="7.7109375" style="171" customWidth="1"/>
    <col min="532" max="765" width="9.140625" style="171"/>
    <col min="766" max="767" width="2.7109375" style="171" customWidth="1"/>
    <col min="768" max="770" width="12" style="171" customWidth="1"/>
    <col min="771" max="772" width="9.140625" style="171"/>
    <col min="773" max="773" width="0.85546875" style="171" customWidth="1"/>
    <col min="774" max="787" width="7.7109375" style="171" customWidth="1"/>
    <col min="788" max="1021" width="9.140625" style="171"/>
    <col min="1022" max="1023" width="2.7109375" style="171" customWidth="1"/>
    <col min="1024" max="1026" width="12" style="171" customWidth="1"/>
    <col min="1027" max="1028" width="9.140625" style="171"/>
    <col min="1029" max="1029" width="0.85546875" style="171" customWidth="1"/>
    <col min="1030" max="1043" width="7.7109375" style="171" customWidth="1"/>
    <col min="1044" max="1277" width="9.140625" style="171"/>
    <col min="1278" max="1279" width="2.7109375" style="171" customWidth="1"/>
    <col min="1280" max="1282" width="12" style="171" customWidth="1"/>
    <col min="1283" max="1284" width="9.140625" style="171"/>
    <col min="1285" max="1285" width="0.85546875" style="171" customWidth="1"/>
    <col min="1286" max="1299" width="7.7109375" style="171" customWidth="1"/>
    <col min="1300" max="1533" width="9.140625" style="171"/>
    <col min="1534" max="1535" width="2.7109375" style="171" customWidth="1"/>
    <col min="1536" max="1538" width="12" style="171" customWidth="1"/>
    <col min="1539" max="1540" width="9.140625" style="171"/>
    <col min="1541" max="1541" width="0.85546875" style="171" customWidth="1"/>
    <col min="1542" max="1555" width="7.7109375" style="171" customWidth="1"/>
    <col min="1556" max="1789" width="9.140625" style="171"/>
    <col min="1790" max="1791" width="2.7109375" style="171" customWidth="1"/>
    <col min="1792" max="1794" width="12" style="171" customWidth="1"/>
    <col min="1795" max="1796" width="9.140625" style="171"/>
    <col min="1797" max="1797" width="0.85546875" style="171" customWidth="1"/>
    <col min="1798" max="1811" width="7.7109375" style="171" customWidth="1"/>
    <col min="1812" max="2045" width="9.140625" style="171"/>
    <col min="2046" max="2047" width="2.7109375" style="171" customWidth="1"/>
    <col min="2048" max="2050" width="12" style="171" customWidth="1"/>
    <col min="2051" max="2052" width="9.140625" style="171"/>
    <col min="2053" max="2053" width="0.85546875" style="171" customWidth="1"/>
    <col min="2054" max="2067" width="7.7109375" style="171" customWidth="1"/>
    <col min="2068" max="2301" width="9.140625" style="171"/>
    <col min="2302" max="2303" width="2.7109375" style="171" customWidth="1"/>
    <col min="2304" max="2306" width="12" style="171" customWidth="1"/>
    <col min="2307" max="2308" width="9.140625" style="171"/>
    <col min="2309" max="2309" width="0.85546875" style="171" customWidth="1"/>
    <col min="2310" max="2323" width="7.7109375" style="171" customWidth="1"/>
    <col min="2324" max="2557" width="9.140625" style="171"/>
    <col min="2558" max="2559" width="2.7109375" style="171" customWidth="1"/>
    <col min="2560" max="2562" width="12" style="171" customWidth="1"/>
    <col min="2563" max="2564" width="9.140625" style="171"/>
    <col min="2565" max="2565" width="0.85546875" style="171" customWidth="1"/>
    <col min="2566" max="2579" width="7.7109375" style="171" customWidth="1"/>
    <col min="2580" max="2813" width="9.140625" style="171"/>
    <col min="2814" max="2815" width="2.7109375" style="171" customWidth="1"/>
    <col min="2816" max="2818" width="12" style="171" customWidth="1"/>
    <col min="2819" max="2820" width="9.140625" style="171"/>
    <col min="2821" max="2821" width="0.85546875" style="171" customWidth="1"/>
    <col min="2822" max="2835" width="7.7109375" style="171" customWidth="1"/>
    <col min="2836" max="3069" width="9.140625" style="171"/>
    <col min="3070" max="3071" width="2.7109375" style="171" customWidth="1"/>
    <col min="3072" max="3074" width="12" style="171" customWidth="1"/>
    <col min="3075" max="3076" width="9.140625" style="171"/>
    <col min="3077" max="3077" width="0.85546875" style="171" customWidth="1"/>
    <col min="3078" max="3091" width="7.7109375" style="171" customWidth="1"/>
    <col min="3092" max="3325" width="9.140625" style="171"/>
    <col min="3326" max="3327" width="2.7109375" style="171" customWidth="1"/>
    <col min="3328" max="3330" width="12" style="171" customWidth="1"/>
    <col min="3331" max="3332" width="9.140625" style="171"/>
    <col min="3333" max="3333" width="0.85546875" style="171" customWidth="1"/>
    <col min="3334" max="3347" width="7.7109375" style="171" customWidth="1"/>
    <col min="3348" max="3581" width="9.140625" style="171"/>
    <col min="3582" max="3583" width="2.7109375" style="171" customWidth="1"/>
    <col min="3584" max="3586" width="12" style="171" customWidth="1"/>
    <col min="3587" max="3588" width="9.140625" style="171"/>
    <col min="3589" max="3589" width="0.85546875" style="171" customWidth="1"/>
    <col min="3590" max="3603" width="7.7109375" style="171" customWidth="1"/>
    <col min="3604" max="3837" width="9.140625" style="171"/>
    <col min="3838" max="3839" width="2.7109375" style="171" customWidth="1"/>
    <col min="3840" max="3842" width="12" style="171" customWidth="1"/>
    <col min="3843" max="3844" width="9.140625" style="171"/>
    <col min="3845" max="3845" width="0.85546875" style="171" customWidth="1"/>
    <col min="3846" max="3859" width="7.7109375" style="171" customWidth="1"/>
    <col min="3860" max="4093" width="9.140625" style="171"/>
    <col min="4094" max="4095" width="2.7109375" style="171" customWidth="1"/>
    <col min="4096" max="4098" width="12" style="171" customWidth="1"/>
    <col min="4099" max="4100" width="9.140625" style="171"/>
    <col min="4101" max="4101" width="0.85546875" style="171" customWidth="1"/>
    <col min="4102" max="4115" width="7.7109375" style="171" customWidth="1"/>
    <col min="4116" max="4349" width="9.140625" style="171"/>
    <col min="4350" max="4351" width="2.7109375" style="171" customWidth="1"/>
    <col min="4352" max="4354" width="12" style="171" customWidth="1"/>
    <col min="4355" max="4356" width="9.140625" style="171"/>
    <col min="4357" max="4357" width="0.85546875" style="171" customWidth="1"/>
    <col min="4358" max="4371" width="7.7109375" style="171" customWidth="1"/>
    <col min="4372" max="4605" width="9.140625" style="171"/>
    <col min="4606" max="4607" width="2.7109375" style="171" customWidth="1"/>
    <col min="4608" max="4610" width="12" style="171" customWidth="1"/>
    <col min="4611" max="4612" width="9.140625" style="171"/>
    <col min="4613" max="4613" width="0.85546875" style="171" customWidth="1"/>
    <col min="4614" max="4627" width="7.7109375" style="171" customWidth="1"/>
    <col min="4628" max="4861" width="9.140625" style="171"/>
    <col min="4862" max="4863" width="2.7109375" style="171" customWidth="1"/>
    <col min="4864" max="4866" width="12" style="171" customWidth="1"/>
    <col min="4867" max="4868" width="9.140625" style="171"/>
    <col min="4869" max="4869" width="0.85546875" style="171" customWidth="1"/>
    <col min="4870" max="4883" width="7.7109375" style="171" customWidth="1"/>
    <col min="4884" max="5117" width="9.140625" style="171"/>
    <col min="5118" max="5119" width="2.7109375" style="171" customWidth="1"/>
    <col min="5120" max="5122" width="12" style="171" customWidth="1"/>
    <col min="5123" max="5124" width="9.140625" style="171"/>
    <col min="5125" max="5125" width="0.85546875" style="171" customWidth="1"/>
    <col min="5126" max="5139" width="7.7109375" style="171" customWidth="1"/>
    <col min="5140" max="5373" width="9.140625" style="171"/>
    <col min="5374" max="5375" width="2.7109375" style="171" customWidth="1"/>
    <col min="5376" max="5378" width="12" style="171" customWidth="1"/>
    <col min="5379" max="5380" width="9.140625" style="171"/>
    <col min="5381" max="5381" width="0.85546875" style="171" customWidth="1"/>
    <col min="5382" max="5395" width="7.7109375" style="171" customWidth="1"/>
    <col min="5396" max="5629" width="9.140625" style="171"/>
    <col min="5630" max="5631" width="2.7109375" style="171" customWidth="1"/>
    <col min="5632" max="5634" width="12" style="171" customWidth="1"/>
    <col min="5635" max="5636" width="9.140625" style="171"/>
    <col min="5637" max="5637" width="0.85546875" style="171" customWidth="1"/>
    <col min="5638" max="5651" width="7.7109375" style="171" customWidth="1"/>
    <col min="5652" max="5885" width="9.140625" style="171"/>
    <col min="5886" max="5887" width="2.7109375" style="171" customWidth="1"/>
    <col min="5888" max="5890" width="12" style="171" customWidth="1"/>
    <col min="5891" max="5892" width="9.140625" style="171"/>
    <col min="5893" max="5893" width="0.85546875" style="171" customWidth="1"/>
    <col min="5894" max="5907" width="7.7109375" style="171" customWidth="1"/>
    <col min="5908" max="6141" width="9.140625" style="171"/>
    <col min="6142" max="6143" width="2.7109375" style="171" customWidth="1"/>
    <col min="6144" max="6146" width="12" style="171" customWidth="1"/>
    <col min="6147" max="6148" width="9.140625" style="171"/>
    <col min="6149" max="6149" width="0.85546875" style="171" customWidth="1"/>
    <col min="6150" max="6163" width="7.7109375" style="171" customWidth="1"/>
    <col min="6164" max="6397" width="9.140625" style="171"/>
    <col min="6398" max="6399" width="2.7109375" style="171" customWidth="1"/>
    <col min="6400" max="6402" width="12" style="171" customWidth="1"/>
    <col min="6403" max="6404" width="9.140625" style="171"/>
    <col min="6405" max="6405" width="0.85546875" style="171" customWidth="1"/>
    <col min="6406" max="6419" width="7.7109375" style="171" customWidth="1"/>
    <col min="6420" max="6653" width="9.140625" style="171"/>
    <col min="6654" max="6655" width="2.7109375" style="171" customWidth="1"/>
    <col min="6656" max="6658" width="12" style="171" customWidth="1"/>
    <col min="6659" max="6660" width="9.140625" style="171"/>
    <col min="6661" max="6661" width="0.85546875" style="171" customWidth="1"/>
    <col min="6662" max="6675" width="7.7109375" style="171" customWidth="1"/>
    <col min="6676" max="6909" width="9.140625" style="171"/>
    <col min="6910" max="6911" width="2.7109375" style="171" customWidth="1"/>
    <col min="6912" max="6914" width="12" style="171" customWidth="1"/>
    <col min="6915" max="6916" width="9.140625" style="171"/>
    <col min="6917" max="6917" width="0.85546875" style="171" customWidth="1"/>
    <col min="6918" max="6931" width="7.7109375" style="171" customWidth="1"/>
    <col min="6932" max="7165" width="9.140625" style="171"/>
    <col min="7166" max="7167" width="2.7109375" style="171" customWidth="1"/>
    <col min="7168" max="7170" width="12" style="171" customWidth="1"/>
    <col min="7171" max="7172" width="9.140625" style="171"/>
    <col min="7173" max="7173" width="0.85546875" style="171" customWidth="1"/>
    <col min="7174" max="7187" width="7.7109375" style="171" customWidth="1"/>
    <col min="7188" max="7421" width="9.140625" style="171"/>
    <col min="7422" max="7423" width="2.7109375" style="171" customWidth="1"/>
    <col min="7424" max="7426" width="12" style="171" customWidth="1"/>
    <col min="7427" max="7428" width="9.140625" style="171"/>
    <col min="7429" max="7429" width="0.85546875" style="171" customWidth="1"/>
    <col min="7430" max="7443" width="7.7109375" style="171" customWidth="1"/>
    <col min="7444" max="7677" width="9.140625" style="171"/>
    <col min="7678" max="7679" width="2.7109375" style="171" customWidth="1"/>
    <col min="7680" max="7682" width="12" style="171" customWidth="1"/>
    <col min="7683" max="7684" width="9.140625" style="171"/>
    <col min="7685" max="7685" width="0.85546875" style="171" customWidth="1"/>
    <col min="7686" max="7699" width="7.7109375" style="171" customWidth="1"/>
    <col min="7700" max="7933" width="9.140625" style="171"/>
    <col min="7934" max="7935" width="2.7109375" style="171" customWidth="1"/>
    <col min="7936" max="7938" width="12" style="171" customWidth="1"/>
    <col min="7939" max="7940" width="9.140625" style="171"/>
    <col min="7941" max="7941" width="0.85546875" style="171" customWidth="1"/>
    <col min="7942" max="7955" width="7.7109375" style="171" customWidth="1"/>
    <col min="7956" max="8189" width="9.140625" style="171"/>
    <col min="8190" max="8191" width="2.7109375" style="171" customWidth="1"/>
    <col min="8192" max="8194" width="12" style="171" customWidth="1"/>
    <col min="8195" max="8196" width="9.140625" style="171"/>
    <col min="8197" max="8197" width="0.85546875" style="171" customWidth="1"/>
    <col min="8198" max="8211" width="7.7109375" style="171" customWidth="1"/>
    <col min="8212" max="8445" width="9.140625" style="171"/>
    <col min="8446" max="8447" width="2.7109375" style="171" customWidth="1"/>
    <col min="8448" max="8450" width="12" style="171" customWidth="1"/>
    <col min="8451" max="8452" width="9.140625" style="171"/>
    <col min="8453" max="8453" width="0.85546875" style="171" customWidth="1"/>
    <col min="8454" max="8467" width="7.7109375" style="171" customWidth="1"/>
    <col min="8468" max="8701" width="9.140625" style="171"/>
    <col min="8702" max="8703" width="2.7109375" style="171" customWidth="1"/>
    <col min="8704" max="8706" width="12" style="171" customWidth="1"/>
    <col min="8707" max="8708" width="9.140625" style="171"/>
    <col min="8709" max="8709" width="0.85546875" style="171" customWidth="1"/>
    <col min="8710" max="8723" width="7.7109375" style="171" customWidth="1"/>
    <col min="8724" max="8957" width="9.140625" style="171"/>
    <col min="8958" max="8959" width="2.7109375" style="171" customWidth="1"/>
    <col min="8960" max="8962" width="12" style="171" customWidth="1"/>
    <col min="8963" max="8964" width="9.140625" style="171"/>
    <col min="8965" max="8965" width="0.85546875" style="171" customWidth="1"/>
    <col min="8966" max="8979" width="7.7109375" style="171" customWidth="1"/>
    <col min="8980" max="9213" width="9.140625" style="171"/>
    <col min="9214" max="9215" width="2.7109375" style="171" customWidth="1"/>
    <col min="9216" max="9218" width="12" style="171" customWidth="1"/>
    <col min="9219" max="9220" width="9.140625" style="171"/>
    <col min="9221" max="9221" width="0.85546875" style="171" customWidth="1"/>
    <col min="9222" max="9235" width="7.7109375" style="171" customWidth="1"/>
    <col min="9236" max="9469" width="9.140625" style="171"/>
    <col min="9470" max="9471" width="2.7109375" style="171" customWidth="1"/>
    <col min="9472" max="9474" width="12" style="171" customWidth="1"/>
    <col min="9475" max="9476" width="9.140625" style="171"/>
    <col min="9477" max="9477" width="0.85546875" style="171" customWidth="1"/>
    <col min="9478" max="9491" width="7.7109375" style="171" customWidth="1"/>
    <col min="9492" max="9725" width="9.140625" style="171"/>
    <col min="9726" max="9727" width="2.7109375" style="171" customWidth="1"/>
    <col min="9728" max="9730" width="12" style="171" customWidth="1"/>
    <col min="9731" max="9732" width="9.140625" style="171"/>
    <col min="9733" max="9733" width="0.85546875" style="171" customWidth="1"/>
    <col min="9734" max="9747" width="7.7109375" style="171" customWidth="1"/>
    <col min="9748" max="9981" width="9.140625" style="171"/>
    <col min="9982" max="9983" width="2.7109375" style="171" customWidth="1"/>
    <col min="9984" max="9986" width="12" style="171" customWidth="1"/>
    <col min="9987" max="9988" width="9.140625" style="171"/>
    <col min="9989" max="9989" width="0.85546875" style="171" customWidth="1"/>
    <col min="9990" max="10003" width="7.7109375" style="171" customWidth="1"/>
    <col min="10004" max="10237" width="9.140625" style="171"/>
    <col min="10238" max="10239" width="2.7109375" style="171" customWidth="1"/>
    <col min="10240" max="10242" width="12" style="171" customWidth="1"/>
    <col min="10243" max="10244" width="9.140625" style="171"/>
    <col min="10245" max="10245" width="0.85546875" style="171" customWidth="1"/>
    <col min="10246" max="10259" width="7.7109375" style="171" customWidth="1"/>
    <col min="10260" max="10493" width="9.140625" style="171"/>
    <col min="10494" max="10495" width="2.7109375" style="171" customWidth="1"/>
    <col min="10496" max="10498" width="12" style="171" customWidth="1"/>
    <col min="10499" max="10500" width="9.140625" style="171"/>
    <col min="10501" max="10501" width="0.85546875" style="171" customWidth="1"/>
    <col min="10502" max="10515" width="7.7109375" style="171" customWidth="1"/>
    <col min="10516" max="10749" width="9.140625" style="171"/>
    <col min="10750" max="10751" width="2.7109375" style="171" customWidth="1"/>
    <col min="10752" max="10754" width="12" style="171" customWidth="1"/>
    <col min="10755" max="10756" width="9.140625" style="171"/>
    <col min="10757" max="10757" width="0.85546875" style="171" customWidth="1"/>
    <col min="10758" max="10771" width="7.7109375" style="171" customWidth="1"/>
    <col min="10772" max="11005" width="9.140625" style="171"/>
    <col min="11006" max="11007" width="2.7109375" style="171" customWidth="1"/>
    <col min="11008" max="11010" width="12" style="171" customWidth="1"/>
    <col min="11011" max="11012" width="9.140625" style="171"/>
    <col min="11013" max="11013" width="0.85546875" style="171" customWidth="1"/>
    <col min="11014" max="11027" width="7.7109375" style="171" customWidth="1"/>
    <col min="11028" max="11261" width="9.140625" style="171"/>
    <col min="11262" max="11263" width="2.7109375" style="171" customWidth="1"/>
    <col min="11264" max="11266" width="12" style="171" customWidth="1"/>
    <col min="11267" max="11268" width="9.140625" style="171"/>
    <col min="11269" max="11269" width="0.85546875" style="171" customWidth="1"/>
    <col min="11270" max="11283" width="7.7109375" style="171" customWidth="1"/>
    <col min="11284" max="11517" width="9.140625" style="171"/>
    <col min="11518" max="11519" width="2.7109375" style="171" customWidth="1"/>
    <col min="11520" max="11522" width="12" style="171" customWidth="1"/>
    <col min="11523" max="11524" width="9.140625" style="171"/>
    <col min="11525" max="11525" width="0.85546875" style="171" customWidth="1"/>
    <col min="11526" max="11539" width="7.7109375" style="171" customWidth="1"/>
    <col min="11540" max="11773" width="9.140625" style="171"/>
    <col min="11774" max="11775" width="2.7109375" style="171" customWidth="1"/>
    <col min="11776" max="11778" width="12" style="171" customWidth="1"/>
    <col min="11779" max="11780" width="9.140625" style="171"/>
    <col min="11781" max="11781" width="0.85546875" style="171" customWidth="1"/>
    <col min="11782" max="11795" width="7.7109375" style="171" customWidth="1"/>
    <col min="11796" max="12029" width="9.140625" style="171"/>
    <col min="12030" max="12031" width="2.7109375" style="171" customWidth="1"/>
    <col min="12032" max="12034" width="12" style="171" customWidth="1"/>
    <col min="12035" max="12036" width="9.140625" style="171"/>
    <col min="12037" max="12037" width="0.85546875" style="171" customWidth="1"/>
    <col min="12038" max="12051" width="7.7109375" style="171" customWidth="1"/>
    <col min="12052" max="12285" width="9.140625" style="171"/>
    <col min="12286" max="12287" width="2.7109375" style="171" customWidth="1"/>
    <col min="12288" max="12290" width="12" style="171" customWidth="1"/>
    <col min="12291" max="12292" width="9.140625" style="171"/>
    <col min="12293" max="12293" width="0.85546875" style="171" customWidth="1"/>
    <col min="12294" max="12307" width="7.7109375" style="171" customWidth="1"/>
    <col min="12308" max="12541" width="9.140625" style="171"/>
    <col min="12542" max="12543" width="2.7109375" style="171" customWidth="1"/>
    <col min="12544" max="12546" width="12" style="171" customWidth="1"/>
    <col min="12547" max="12548" width="9.140625" style="171"/>
    <col min="12549" max="12549" width="0.85546875" style="171" customWidth="1"/>
    <col min="12550" max="12563" width="7.7109375" style="171" customWidth="1"/>
    <col min="12564" max="12797" width="9.140625" style="171"/>
    <col min="12798" max="12799" width="2.7109375" style="171" customWidth="1"/>
    <col min="12800" max="12802" width="12" style="171" customWidth="1"/>
    <col min="12803" max="12804" width="9.140625" style="171"/>
    <col min="12805" max="12805" width="0.85546875" style="171" customWidth="1"/>
    <col min="12806" max="12819" width="7.7109375" style="171" customWidth="1"/>
    <col min="12820" max="13053" width="9.140625" style="171"/>
    <col min="13054" max="13055" width="2.7109375" style="171" customWidth="1"/>
    <col min="13056" max="13058" width="12" style="171" customWidth="1"/>
    <col min="13059" max="13060" width="9.140625" style="171"/>
    <col min="13061" max="13061" width="0.85546875" style="171" customWidth="1"/>
    <col min="13062" max="13075" width="7.7109375" style="171" customWidth="1"/>
    <col min="13076" max="13309" width="9.140625" style="171"/>
    <col min="13310" max="13311" width="2.7109375" style="171" customWidth="1"/>
    <col min="13312" max="13314" width="12" style="171" customWidth="1"/>
    <col min="13315" max="13316" width="9.140625" style="171"/>
    <col min="13317" max="13317" width="0.85546875" style="171" customWidth="1"/>
    <col min="13318" max="13331" width="7.7109375" style="171" customWidth="1"/>
    <col min="13332" max="13565" width="9.140625" style="171"/>
    <col min="13566" max="13567" width="2.7109375" style="171" customWidth="1"/>
    <col min="13568" max="13570" width="12" style="171" customWidth="1"/>
    <col min="13571" max="13572" width="9.140625" style="171"/>
    <col min="13573" max="13573" width="0.85546875" style="171" customWidth="1"/>
    <col min="13574" max="13587" width="7.7109375" style="171" customWidth="1"/>
    <col min="13588" max="13821" width="9.140625" style="171"/>
    <col min="13822" max="13823" width="2.7109375" style="171" customWidth="1"/>
    <col min="13824" max="13826" width="12" style="171" customWidth="1"/>
    <col min="13827" max="13828" width="9.140625" style="171"/>
    <col min="13829" max="13829" width="0.85546875" style="171" customWidth="1"/>
    <col min="13830" max="13843" width="7.7109375" style="171" customWidth="1"/>
    <col min="13844" max="14077" width="9.140625" style="171"/>
    <col min="14078" max="14079" width="2.7109375" style="171" customWidth="1"/>
    <col min="14080" max="14082" width="12" style="171" customWidth="1"/>
    <col min="14083" max="14084" width="9.140625" style="171"/>
    <col min="14085" max="14085" width="0.85546875" style="171" customWidth="1"/>
    <col min="14086" max="14099" width="7.7109375" style="171" customWidth="1"/>
    <col min="14100" max="14333" width="9.140625" style="171"/>
    <col min="14334" max="14335" width="2.7109375" style="171" customWidth="1"/>
    <col min="14336" max="14338" width="12" style="171" customWidth="1"/>
    <col min="14339" max="14340" width="9.140625" style="171"/>
    <col min="14341" max="14341" width="0.85546875" style="171" customWidth="1"/>
    <col min="14342" max="14355" width="7.7109375" style="171" customWidth="1"/>
    <col min="14356" max="14589" width="9.140625" style="171"/>
    <col min="14590" max="14591" width="2.7109375" style="171" customWidth="1"/>
    <col min="14592" max="14594" width="12" style="171" customWidth="1"/>
    <col min="14595" max="14596" width="9.140625" style="171"/>
    <col min="14597" max="14597" width="0.85546875" style="171" customWidth="1"/>
    <col min="14598" max="14611" width="7.7109375" style="171" customWidth="1"/>
    <col min="14612" max="14845" width="9.140625" style="171"/>
    <col min="14846" max="14847" width="2.7109375" style="171" customWidth="1"/>
    <col min="14848" max="14850" width="12" style="171" customWidth="1"/>
    <col min="14851" max="14852" width="9.140625" style="171"/>
    <col min="14853" max="14853" width="0.85546875" style="171" customWidth="1"/>
    <col min="14854" max="14867" width="7.7109375" style="171" customWidth="1"/>
    <col min="14868" max="15101" width="9.140625" style="171"/>
    <col min="15102" max="15103" width="2.7109375" style="171" customWidth="1"/>
    <col min="15104" max="15106" width="12" style="171" customWidth="1"/>
    <col min="15107" max="15108" width="9.140625" style="171"/>
    <col min="15109" max="15109" width="0.85546875" style="171" customWidth="1"/>
    <col min="15110" max="15123" width="7.7109375" style="171" customWidth="1"/>
    <col min="15124" max="15357" width="9.140625" style="171"/>
    <col min="15358" max="15359" width="2.7109375" style="171" customWidth="1"/>
    <col min="15360" max="15362" width="12" style="171" customWidth="1"/>
    <col min="15363" max="15364" width="9.140625" style="171"/>
    <col min="15365" max="15365" width="0.85546875" style="171" customWidth="1"/>
    <col min="15366" max="15379" width="7.7109375" style="171" customWidth="1"/>
    <col min="15380" max="15613" width="9.140625" style="171"/>
    <col min="15614" max="15615" width="2.7109375" style="171" customWidth="1"/>
    <col min="15616" max="15618" width="12" style="171" customWidth="1"/>
    <col min="15619" max="15620" width="9.140625" style="171"/>
    <col min="15621" max="15621" width="0.85546875" style="171" customWidth="1"/>
    <col min="15622" max="15635" width="7.7109375" style="171" customWidth="1"/>
    <col min="15636" max="15869" width="9.140625" style="171"/>
    <col min="15870" max="15871" width="2.7109375" style="171" customWidth="1"/>
    <col min="15872" max="15874" width="12" style="171" customWidth="1"/>
    <col min="15875" max="15876" width="9.140625" style="171"/>
    <col min="15877" max="15877" width="0.85546875" style="171" customWidth="1"/>
    <col min="15878" max="15891" width="7.7109375" style="171" customWidth="1"/>
    <col min="15892" max="16125" width="9.140625" style="171"/>
    <col min="16126" max="16127" width="2.7109375" style="171" customWidth="1"/>
    <col min="16128" max="16130" width="12" style="171" customWidth="1"/>
    <col min="16131" max="16132" width="9.140625" style="171"/>
    <col min="16133" max="16133" width="0.85546875" style="171" customWidth="1"/>
    <col min="16134" max="16147" width="7.7109375" style="171" customWidth="1"/>
    <col min="16148" max="16384" width="9.140625" style="171"/>
  </cols>
  <sheetData>
    <row r="1" spans="1:21" ht="13.5" thickBot="1">
      <c r="A1" s="170" t="s">
        <v>80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1" ht="13.5" thickTop="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21">
      <c r="A3" s="16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21" ht="15.95" customHeight="1">
      <c r="A4" s="173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39"/>
      <c r="P4" s="39"/>
      <c r="Q4" s="39"/>
      <c r="R4" s="39"/>
      <c r="S4" s="39"/>
      <c r="T4" s="39"/>
      <c r="U4" s="39"/>
    </row>
    <row r="5" spans="1:21" ht="15.95" customHeight="1">
      <c r="A5" s="173"/>
      <c r="B5" s="168"/>
      <c r="C5" s="174" t="s">
        <v>81</v>
      </c>
      <c r="D5" s="174"/>
      <c r="E5" s="174"/>
      <c r="F5" s="174"/>
      <c r="G5" s="174"/>
      <c r="H5" s="174"/>
      <c r="I5" s="174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39"/>
    </row>
    <row r="6" spans="1:21" ht="12" customHeight="1">
      <c r="A6" s="173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39"/>
    </row>
    <row r="7" spans="1:21" ht="20.25" customHeight="1">
      <c r="A7" s="173"/>
      <c r="B7" s="168"/>
      <c r="C7" s="175" t="s">
        <v>82</v>
      </c>
      <c r="D7" s="176"/>
      <c r="E7" s="176"/>
      <c r="F7" s="176"/>
      <c r="G7" s="176"/>
      <c r="H7" s="176"/>
      <c r="I7" s="177">
        <v>0</v>
      </c>
      <c r="J7" s="177">
        <f t="shared" ref="J7" si="0">+I7+1</f>
        <v>1</v>
      </c>
      <c r="K7" s="177">
        <f t="shared" ref="K7" si="1">+J7+1</f>
        <v>2</v>
      </c>
      <c r="L7" s="177">
        <f t="shared" ref="L7" si="2">+K7+1</f>
        <v>3</v>
      </c>
      <c r="M7" s="177">
        <f t="shared" ref="M7" si="3">+L7+1</f>
        <v>4</v>
      </c>
      <c r="N7" s="177">
        <f t="shared" ref="N7" si="4">+M7+1</f>
        <v>5</v>
      </c>
      <c r="O7" s="177">
        <f t="shared" ref="O7" si="5">+N7+1</f>
        <v>6</v>
      </c>
      <c r="P7" s="177">
        <f t="shared" ref="P7" si="6">+O7+1</f>
        <v>7</v>
      </c>
      <c r="Q7" s="177">
        <f t="shared" ref="Q7" si="7">+P7+1</f>
        <v>8</v>
      </c>
      <c r="R7" s="177">
        <f t="shared" ref="R7" si="8">+Q7+1</f>
        <v>9</v>
      </c>
      <c r="S7" s="177">
        <f t="shared" ref="S7" si="9">+R7+1</f>
        <v>10</v>
      </c>
      <c r="T7" s="177" t="s">
        <v>83</v>
      </c>
      <c r="U7" s="39"/>
    </row>
    <row r="8" spans="1:21" ht="20.25" customHeight="1">
      <c r="A8" s="173"/>
      <c r="B8" s="168"/>
      <c r="C8" s="178" t="s">
        <v>145</v>
      </c>
      <c r="D8" s="179"/>
      <c r="E8" s="180"/>
      <c r="F8" s="180"/>
      <c r="G8" s="180"/>
      <c r="H8" s="180"/>
      <c r="I8" s="303">
        <f>+'DCF input'!I22</f>
        <v>43921</v>
      </c>
      <c r="J8" s="303">
        <f>+'DCF input'!J22</f>
        <v>44286</v>
      </c>
      <c r="K8" s="303">
        <f>+'DCF input'!K22</f>
        <v>44651</v>
      </c>
      <c r="L8" s="303">
        <f>+'DCF input'!L22</f>
        <v>45016</v>
      </c>
      <c r="M8" s="303">
        <f>+'DCF input'!M22</f>
        <v>45382</v>
      </c>
      <c r="N8" s="303">
        <f>+'DCF input'!N22</f>
        <v>45747</v>
      </c>
      <c r="O8" s="303">
        <f>+'DCF input'!O22</f>
        <v>46112</v>
      </c>
      <c r="P8" s="303">
        <f>+'DCF input'!P22</f>
        <v>46477</v>
      </c>
      <c r="Q8" s="303">
        <f>+'DCF input'!Q22</f>
        <v>46843</v>
      </c>
      <c r="R8" s="303">
        <f>+'DCF input'!R22</f>
        <v>47208</v>
      </c>
      <c r="S8" s="303">
        <f>+'DCF input'!S22</f>
        <v>47573</v>
      </c>
      <c r="T8" s="180"/>
      <c r="U8" s="39"/>
    </row>
    <row r="9" spans="1:21" ht="20.25" customHeight="1">
      <c r="A9" s="173"/>
      <c r="B9" s="168"/>
      <c r="C9" s="181" t="s">
        <v>2</v>
      </c>
      <c r="D9" s="181"/>
      <c r="E9" s="182"/>
      <c r="F9" s="182"/>
      <c r="G9" s="182"/>
      <c r="H9" s="182"/>
      <c r="I9" s="222">
        <f>'DCF input'!I24</f>
        <v>1149.2312142121568</v>
      </c>
      <c r="J9" s="222">
        <f>'DCF input'!J24</f>
        <v>1100</v>
      </c>
      <c r="K9" s="222">
        <f>'DCF input'!K24</f>
        <v>1353.8373857301615</v>
      </c>
      <c r="L9" s="222">
        <f>'DCF input'!L24</f>
        <v>1446.9754795854415</v>
      </c>
      <c r="M9" s="222">
        <f>'DCF input'!M24</f>
        <v>1442.6203434361953</v>
      </c>
      <c r="N9" s="222">
        <f>'DCF input'!N24</f>
        <v>1471.4727503049191</v>
      </c>
      <c r="O9" s="222">
        <f ca="1">'DCF input'!O24</f>
        <v>1497.9592598104077</v>
      </c>
      <c r="P9" s="222">
        <f ca="1">'DCF input'!P24</f>
        <v>1521.9266079673744</v>
      </c>
      <c r="Q9" s="222">
        <f ca="1">'DCF input'!Q24</f>
        <v>1543.2335804789177</v>
      </c>
      <c r="R9" s="222">
        <f ca="1">'DCF input'!R24</f>
        <v>1561.7523834446647</v>
      </c>
      <c r="S9" s="222">
        <f ca="1">'DCF input'!S24</f>
        <v>1577.3699072791114</v>
      </c>
      <c r="T9" s="223"/>
      <c r="U9" s="39"/>
    </row>
    <row r="10" spans="1:21" ht="20.25" customHeight="1">
      <c r="A10" s="173"/>
      <c r="B10" s="168"/>
      <c r="C10" s="183" t="s">
        <v>0</v>
      </c>
      <c r="D10" s="183"/>
      <c r="E10" s="184"/>
      <c r="F10" s="185"/>
      <c r="G10" s="185"/>
      <c r="H10" s="185"/>
      <c r="I10" s="224"/>
      <c r="J10" s="224">
        <f t="shared" ref="J10:S10" si="10">J9/I9-1</f>
        <v>-4.2838389353970663E-2</v>
      </c>
      <c r="K10" s="224">
        <f t="shared" si="10"/>
        <v>0.23076125975469219</v>
      </c>
      <c r="L10" s="224">
        <f t="shared" si="10"/>
        <v>6.879562851268739E-2</v>
      </c>
      <c r="M10" s="224">
        <f t="shared" si="10"/>
        <v>-3.0098202842344657E-3</v>
      </c>
      <c r="N10" s="224">
        <f t="shared" si="10"/>
        <v>2.0000000000000018E-2</v>
      </c>
      <c r="O10" s="224">
        <f t="shared" ca="1" si="10"/>
        <v>1.8000000000000016E-2</v>
      </c>
      <c r="P10" s="224">
        <f t="shared" ca="1" si="10"/>
        <v>1.6000000000000014E-2</v>
      </c>
      <c r="Q10" s="224">
        <f t="shared" ca="1" si="10"/>
        <v>1.4000000000000012E-2</v>
      </c>
      <c r="R10" s="224">
        <f t="shared" ca="1" si="10"/>
        <v>1.2000000000000011E-2</v>
      </c>
      <c r="S10" s="224">
        <f t="shared" ca="1" si="10"/>
        <v>1.0000000000000009E-2</v>
      </c>
      <c r="T10" s="225"/>
      <c r="U10" s="39"/>
    </row>
    <row r="11" spans="1:21" ht="20.25" customHeight="1">
      <c r="A11" s="173"/>
      <c r="B11" s="168"/>
      <c r="C11" s="181" t="s">
        <v>3</v>
      </c>
      <c r="D11" s="181"/>
      <c r="E11" s="182"/>
      <c r="F11" s="182"/>
      <c r="G11" s="182"/>
      <c r="H11" s="182"/>
      <c r="I11" s="222">
        <f>'DCF input'!I27</f>
        <v>94.147209662938664</v>
      </c>
      <c r="J11" s="222">
        <f>'DCF input'!J27</f>
        <v>8.2024042733811307</v>
      </c>
      <c r="K11" s="222">
        <f>'DCF input'!K27</f>
        <v>111.79673623719195</v>
      </c>
      <c r="L11" s="222">
        <f>'DCF input'!L27</f>
        <v>124.39494101920255</v>
      </c>
      <c r="M11" s="222">
        <f>'DCF input'!M27</f>
        <v>127.56812935492377</v>
      </c>
      <c r="N11" s="222">
        <f ca="1">'DCF input'!N27</f>
        <v>130.50500120625895</v>
      </c>
      <c r="O11" s="222">
        <f ca="1">'DCF input'!O27</f>
        <v>133.24653965896459</v>
      </c>
      <c r="P11" s="222">
        <f ca="1">'DCF input'!P27</f>
        <v>135.77721189939695</v>
      </c>
      <c r="Q11" s="222">
        <f ca="1">'DCF input'!Q27</f>
        <v>138.08240265835985</v>
      </c>
      <c r="R11" s="222">
        <f ca="1">'DCF input'!R27</f>
        <v>140.14855300014</v>
      </c>
      <c r="S11" s="222">
        <f ca="1">'DCF input'!S27</f>
        <v>141.96329165512003</v>
      </c>
      <c r="T11" s="223"/>
      <c r="U11" s="39"/>
    </row>
    <row r="12" spans="1:21" ht="20.25" customHeight="1">
      <c r="A12" s="173"/>
      <c r="B12" s="168"/>
      <c r="C12" s="183" t="s">
        <v>1</v>
      </c>
      <c r="D12" s="183"/>
      <c r="E12" s="186"/>
      <c r="F12" s="186"/>
      <c r="G12" s="186"/>
      <c r="H12" s="186"/>
      <c r="I12" s="224">
        <f t="shared" ref="I12:S12" si="11">I11/I9</f>
        <v>8.1921904398916168E-2</v>
      </c>
      <c r="J12" s="224">
        <f t="shared" si="11"/>
        <v>7.4567311576192096E-3</v>
      </c>
      <c r="K12" s="224">
        <f t="shared" si="11"/>
        <v>8.2577669530744205E-2</v>
      </c>
      <c r="L12" s="224">
        <f t="shared" si="11"/>
        <v>8.5968935047082973E-2</v>
      </c>
      <c r="M12" s="224">
        <f t="shared" si="11"/>
        <v>8.8428067672377098E-2</v>
      </c>
      <c r="N12" s="224">
        <f t="shared" ca="1" si="11"/>
        <v>8.8690056393647562E-2</v>
      </c>
      <c r="O12" s="224">
        <f t="shared" ca="1" si="11"/>
        <v>8.8952045114918027E-2</v>
      </c>
      <c r="P12" s="224">
        <f t="shared" ca="1" si="11"/>
        <v>8.9214033836188505E-2</v>
      </c>
      <c r="Q12" s="224">
        <f t="shared" ca="1" si="11"/>
        <v>8.9476022557458998E-2</v>
      </c>
      <c r="R12" s="224">
        <f t="shared" ca="1" si="11"/>
        <v>8.9738011278729504E-2</v>
      </c>
      <c r="S12" s="224">
        <f t="shared" ca="1" si="11"/>
        <v>0.09</v>
      </c>
      <c r="T12" s="225"/>
      <c r="U12" s="39"/>
    </row>
    <row r="13" spans="1:21" ht="20.25" customHeight="1">
      <c r="A13" s="173"/>
      <c r="B13" s="168"/>
      <c r="C13" s="183" t="s">
        <v>0</v>
      </c>
      <c r="D13" s="183"/>
      <c r="E13" s="184"/>
      <c r="F13" s="186"/>
      <c r="G13" s="186"/>
      <c r="H13" s="186"/>
      <c r="I13" s="224"/>
      <c r="J13" s="224">
        <f t="shared" ref="J13:S13" si="12">J11/I11-1</f>
        <v>-0.9128768202186025</v>
      </c>
      <c r="K13" s="224">
        <f t="shared" si="12"/>
        <v>12.629752022830738</v>
      </c>
      <c r="L13" s="224">
        <f t="shared" si="12"/>
        <v>0.1126884845303695</v>
      </c>
      <c r="M13" s="224">
        <f t="shared" si="12"/>
        <v>2.5508982195918906E-2</v>
      </c>
      <c r="N13" s="224">
        <f t="shared" ca="1" si="12"/>
        <v>2.302198727994309E-2</v>
      </c>
      <c r="O13" s="224">
        <f t="shared" ca="1" si="12"/>
        <v>2.1007152426079978E-2</v>
      </c>
      <c r="P13" s="224">
        <f t="shared" ca="1" si="12"/>
        <v>1.8992404957828057E-2</v>
      </c>
      <c r="Q13" s="224">
        <f t="shared" ca="1" si="12"/>
        <v>1.6977744105328485E-2</v>
      </c>
      <c r="R13" s="224">
        <f t="shared" ca="1" si="12"/>
        <v>1.4963169107740315E-2</v>
      </c>
      <c r="S13" s="224">
        <f t="shared" ca="1" si="12"/>
        <v>1.2948679213107717E-2</v>
      </c>
      <c r="T13" s="225"/>
      <c r="U13" s="39"/>
    </row>
    <row r="14" spans="1:21" ht="20.25" customHeight="1">
      <c r="A14" s="173"/>
      <c r="B14" s="168"/>
      <c r="C14" s="187" t="s">
        <v>4</v>
      </c>
      <c r="D14" s="187"/>
      <c r="E14" s="188"/>
      <c r="F14" s="188"/>
      <c r="G14" s="188"/>
      <c r="H14" s="188"/>
      <c r="I14" s="226">
        <f>'DCF input'!I31</f>
        <v>-36.129215400000028</v>
      </c>
      <c r="J14" s="226">
        <f>'DCF input'!J31</f>
        <v>-40.455293523349013</v>
      </c>
      <c r="K14" s="226">
        <f>'DCF input'!K31</f>
        <v>-47.195257615808728</v>
      </c>
      <c r="L14" s="226">
        <f>'DCF input'!L31</f>
        <v>-51.82954358756416</v>
      </c>
      <c r="M14" s="226">
        <f>'DCF input'!M31</f>
        <v>-54.799912142159201</v>
      </c>
      <c r="N14" s="226">
        <f ca="1">'DCF input'!N31</f>
        <v>-53.583260118466001</v>
      </c>
      <c r="O14" s="226">
        <f ca="1">'DCF input'!O31</f>
        <v>-52.366608094772801</v>
      </c>
      <c r="P14" s="226">
        <f ca="1">'DCF input'!P31</f>
        <v>-51.1499560710796</v>
      </c>
      <c r="Q14" s="226">
        <f ca="1">'DCF input'!Q31</f>
        <v>-49.9333040473864</v>
      </c>
      <c r="R14" s="226">
        <f ca="1">'DCF input'!R31</f>
        <v>-48.7166520236932</v>
      </c>
      <c r="S14" s="226">
        <f ca="1">'DCF input'!S31</f>
        <v>-47.5</v>
      </c>
      <c r="T14" s="227"/>
      <c r="U14" s="39"/>
    </row>
    <row r="15" spans="1:21" ht="20.25" customHeight="1">
      <c r="A15" s="173"/>
      <c r="B15" s="168"/>
      <c r="C15" s="183" t="s">
        <v>84</v>
      </c>
      <c r="D15" s="183"/>
      <c r="E15" s="186"/>
      <c r="F15" s="186"/>
      <c r="G15" s="186"/>
      <c r="H15" s="186"/>
      <c r="I15" s="224">
        <f t="shared" ref="I15:S15" si="13">-I14/I$9</f>
        <v>3.1437725457855774E-2</v>
      </c>
      <c r="J15" s="224">
        <f t="shared" si="13"/>
        <v>3.6777539566680922E-2</v>
      </c>
      <c r="K15" s="224">
        <f t="shared" si="13"/>
        <v>3.4860359237571976E-2</v>
      </c>
      <c r="L15" s="224">
        <f t="shared" si="13"/>
        <v>3.5819227290854523E-2</v>
      </c>
      <c r="M15" s="224">
        <f t="shared" si="13"/>
        <v>3.7986371391124714E-2</v>
      </c>
      <c r="N15" s="224">
        <f t="shared" ca="1" si="13"/>
        <v>3.641471451466733E-2</v>
      </c>
      <c r="O15" s="224">
        <f t="shared" ca="1" si="13"/>
        <v>3.4958633054813976E-2</v>
      </c>
      <c r="P15" s="224">
        <f t="shared" ca="1" si="13"/>
        <v>3.360868770104064E-2</v>
      </c>
      <c r="Q15" s="224">
        <f t="shared" ca="1" si="13"/>
        <v>3.2356284025319357E-2</v>
      </c>
      <c r="R15" s="224">
        <f t="shared" ca="1" si="13"/>
        <v>3.1193582631993021E-2</v>
      </c>
      <c r="S15" s="224">
        <f t="shared" ca="1" si="13"/>
        <v>3.0113418406678784E-2</v>
      </c>
      <c r="T15" s="225"/>
      <c r="U15" s="39"/>
    </row>
    <row r="16" spans="1:21" ht="20.25" customHeight="1">
      <c r="A16" s="173"/>
      <c r="B16" s="168"/>
      <c r="C16" s="183" t="s">
        <v>37</v>
      </c>
      <c r="D16" s="183"/>
      <c r="E16" s="186"/>
      <c r="F16" s="186"/>
      <c r="G16" s="186"/>
      <c r="H16" s="186"/>
      <c r="I16" s="224"/>
      <c r="J16" s="224">
        <f>+J14/J21</f>
        <v>0.79324104947743168</v>
      </c>
      <c r="K16" s="224">
        <f>+K14/K21</f>
        <v>0.94390515231617456</v>
      </c>
      <c r="L16" s="224">
        <f t="shared" ref="L16:S16" si="14">+L14/L21</f>
        <v>1.0365908717512833</v>
      </c>
      <c r="M16" s="224">
        <f t="shared" si="14"/>
        <v>1.095998242843184</v>
      </c>
      <c r="N16" s="224">
        <f t="shared" ca="1" si="14"/>
        <v>1.0716652023693201</v>
      </c>
      <c r="O16" s="224">
        <f t="shared" ca="1" si="14"/>
        <v>1.0473321618954561</v>
      </c>
      <c r="P16" s="224">
        <f t="shared" ca="1" si="14"/>
        <v>1.0229991214215921</v>
      </c>
      <c r="Q16" s="224">
        <f t="shared" ca="1" si="14"/>
        <v>0.99866608094772802</v>
      </c>
      <c r="R16" s="224">
        <f t="shared" ca="1" si="14"/>
        <v>0.97433304047386404</v>
      </c>
      <c r="S16" s="224">
        <f t="shared" ca="1" si="14"/>
        <v>0.95</v>
      </c>
      <c r="T16" s="225"/>
      <c r="U16" s="39"/>
    </row>
    <row r="17" spans="1:21" ht="20.25" customHeight="1">
      <c r="A17" s="173"/>
      <c r="B17" s="168"/>
      <c r="C17" s="187" t="s">
        <v>5</v>
      </c>
      <c r="D17" s="187"/>
      <c r="E17" s="188"/>
      <c r="F17" s="188"/>
      <c r="G17" s="188"/>
      <c r="H17" s="188"/>
      <c r="I17" s="226">
        <f t="shared" ref="I17:S17" si="15">I11+I14</f>
        <v>58.017994262938636</v>
      </c>
      <c r="J17" s="226">
        <f t="shared" si="15"/>
        <v>-32.252889249967879</v>
      </c>
      <c r="K17" s="226">
        <f t="shared" si="15"/>
        <v>64.601478621383222</v>
      </c>
      <c r="L17" s="226">
        <f t="shared" si="15"/>
        <v>72.565397431638388</v>
      </c>
      <c r="M17" s="226">
        <f t="shared" si="15"/>
        <v>72.768217212764569</v>
      </c>
      <c r="N17" s="226">
        <f t="shared" ca="1" si="15"/>
        <v>76.921741087792952</v>
      </c>
      <c r="O17" s="226">
        <f t="shared" ca="1" si="15"/>
        <v>80.879931564191793</v>
      </c>
      <c r="P17" s="226">
        <f t="shared" ca="1" si="15"/>
        <v>84.627255828317345</v>
      </c>
      <c r="Q17" s="226">
        <f t="shared" ca="1" si="15"/>
        <v>88.149098610973454</v>
      </c>
      <c r="R17" s="226">
        <f t="shared" ca="1" si="15"/>
        <v>91.431900976446798</v>
      </c>
      <c r="S17" s="226">
        <f t="shared" ca="1" si="15"/>
        <v>94.463291655120031</v>
      </c>
      <c r="T17" s="227"/>
      <c r="U17" s="39"/>
    </row>
    <row r="18" spans="1:21" ht="20.25" customHeight="1">
      <c r="A18" s="173"/>
      <c r="B18" s="168"/>
      <c r="C18" s="183" t="s">
        <v>1</v>
      </c>
      <c r="D18" s="183"/>
      <c r="E18" s="186"/>
      <c r="F18" s="186"/>
      <c r="G18" s="186"/>
      <c r="H18" s="186"/>
      <c r="I18" s="224">
        <f t="shared" ref="I18:S18" si="16">I17/I$9</f>
        <v>5.0484178941060394E-2</v>
      </c>
      <c r="J18" s="224">
        <f t="shared" si="16"/>
        <v>-2.9320808409061708E-2</v>
      </c>
      <c r="K18" s="224">
        <f t="shared" si="16"/>
        <v>4.7717310293172235E-2</v>
      </c>
      <c r="L18" s="224">
        <f t="shared" si="16"/>
        <v>5.0149707756228443E-2</v>
      </c>
      <c r="M18" s="224">
        <f t="shared" si="16"/>
        <v>5.0441696281252384E-2</v>
      </c>
      <c r="N18" s="224">
        <f t="shared" ca="1" si="16"/>
        <v>5.2275341878980225E-2</v>
      </c>
      <c r="O18" s="224">
        <f t="shared" ca="1" si="16"/>
        <v>5.3993412060104044E-2</v>
      </c>
      <c r="P18" s="224">
        <f t="shared" ca="1" si="16"/>
        <v>5.5605346135147865E-2</v>
      </c>
      <c r="Q18" s="224">
        <f t="shared" ca="1" si="16"/>
        <v>5.7119738532139641E-2</v>
      </c>
      <c r="R18" s="224">
        <f t="shared" ca="1" si="16"/>
        <v>5.8544428646736479E-2</v>
      </c>
      <c r="S18" s="224">
        <f t="shared" ca="1" si="16"/>
        <v>5.988658159332122E-2</v>
      </c>
      <c r="T18" s="225"/>
      <c r="U18" s="39"/>
    </row>
    <row r="19" spans="1:21" ht="20.25" customHeight="1">
      <c r="A19" s="173"/>
      <c r="B19" s="168"/>
      <c r="C19" s="187" t="s">
        <v>85</v>
      </c>
      <c r="D19" s="187"/>
      <c r="E19" s="188"/>
      <c r="F19" s="188"/>
      <c r="G19" s="188"/>
      <c r="H19" s="188"/>
      <c r="I19" s="226"/>
      <c r="J19" s="226">
        <f>-J20*J17</f>
        <v>5.4829911724945397</v>
      </c>
      <c r="K19" s="226">
        <f t="shared" ref="K19:S19" si="17">-K20*K17</f>
        <v>-10.982251365635149</v>
      </c>
      <c r="L19" s="226">
        <f t="shared" si="17"/>
        <v>-12.336117563378528</v>
      </c>
      <c r="M19" s="226">
        <f t="shared" si="17"/>
        <v>-12.370596926169977</v>
      </c>
      <c r="N19" s="226">
        <f t="shared" ca="1" si="17"/>
        <v>-13.076695984924802</v>
      </c>
      <c r="O19" s="226">
        <f t="shared" ca="1" si="17"/>
        <v>-13.749588365912606</v>
      </c>
      <c r="P19" s="226">
        <f t="shared" ca="1" si="17"/>
        <v>-14.386633490813949</v>
      </c>
      <c r="Q19" s="226">
        <f t="shared" ca="1" si="17"/>
        <v>-14.985346763865488</v>
      </c>
      <c r="R19" s="226">
        <f t="shared" ca="1" si="17"/>
        <v>-15.543423165995957</v>
      </c>
      <c r="S19" s="226">
        <f t="shared" ca="1" si="17"/>
        <v>-16.058759581370406</v>
      </c>
      <c r="T19" s="227"/>
      <c r="U19" s="39"/>
    </row>
    <row r="20" spans="1:21" ht="20.25" customHeight="1">
      <c r="A20" s="173"/>
      <c r="B20" s="168"/>
      <c r="C20" s="183" t="s">
        <v>6</v>
      </c>
      <c r="D20" s="183"/>
      <c r="E20" s="186"/>
      <c r="F20" s="186"/>
      <c r="G20" s="186"/>
      <c r="H20" s="186"/>
      <c r="I20" s="224"/>
      <c r="J20" s="224">
        <f>'DCF input'!J40</f>
        <v>0.17</v>
      </c>
      <c r="K20" s="224">
        <f>'DCF input'!K40</f>
        <v>0.17</v>
      </c>
      <c r="L20" s="224">
        <f>'DCF input'!L40</f>
        <v>0.17</v>
      </c>
      <c r="M20" s="224">
        <f>'DCF input'!M40</f>
        <v>0.17</v>
      </c>
      <c r="N20" s="224">
        <f>'DCF input'!N40</f>
        <v>0.17</v>
      </c>
      <c r="O20" s="224">
        <f>'DCF input'!O40</f>
        <v>0.17</v>
      </c>
      <c r="P20" s="224">
        <f>'DCF input'!P40</f>
        <v>0.17</v>
      </c>
      <c r="Q20" s="224">
        <f>'DCF input'!Q40</f>
        <v>0.17</v>
      </c>
      <c r="R20" s="224">
        <f>'DCF input'!R40</f>
        <v>0.17</v>
      </c>
      <c r="S20" s="224">
        <f>'DCF input'!S40</f>
        <v>0.17</v>
      </c>
      <c r="T20" s="225"/>
      <c r="U20" s="39"/>
    </row>
    <row r="21" spans="1:21" ht="20.25" customHeight="1">
      <c r="A21" s="173"/>
      <c r="B21" s="168"/>
      <c r="C21" s="187" t="s">
        <v>7</v>
      </c>
      <c r="D21" s="187"/>
      <c r="E21" s="188"/>
      <c r="F21" s="188"/>
      <c r="G21" s="188"/>
      <c r="H21" s="188"/>
      <c r="I21" s="226"/>
      <c r="J21" s="226">
        <f>'DCF input'!J48</f>
        <v>-51</v>
      </c>
      <c r="K21" s="226">
        <f>'DCF input'!K48</f>
        <v>-50</v>
      </c>
      <c r="L21" s="226">
        <f>'DCF input'!L48</f>
        <v>-50</v>
      </c>
      <c r="M21" s="226">
        <f>'DCF input'!M48</f>
        <v>-50</v>
      </c>
      <c r="N21" s="226">
        <f>'DCF input'!N48</f>
        <v>-50</v>
      </c>
      <c r="O21" s="226">
        <f>'DCF input'!O48</f>
        <v>-50</v>
      </c>
      <c r="P21" s="226">
        <f>'DCF input'!P48</f>
        <v>-50</v>
      </c>
      <c r="Q21" s="226">
        <f>'DCF input'!Q48</f>
        <v>-50</v>
      </c>
      <c r="R21" s="226">
        <f>'DCF input'!R48</f>
        <v>-50</v>
      </c>
      <c r="S21" s="226">
        <f>'DCF input'!S48</f>
        <v>-50</v>
      </c>
      <c r="T21" s="227"/>
      <c r="U21" s="39"/>
    </row>
    <row r="22" spans="1:21" ht="20.25" customHeight="1">
      <c r="A22" s="173"/>
      <c r="B22" s="168"/>
      <c r="C22" s="183" t="s">
        <v>84</v>
      </c>
      <c r="D22" s="183"/>
      <c r="E22" s="186"/>
      <c r="F22" s="186"/>
      <c r="G22" s="186"/>
      <c r="H22" s="186"/>
      <c r="I22" s="224"/>
      <c r="J22" s="224">
        <f t="shared" ref="J22" si="18">-J21/J$9</f>
        <v>4.6363636363636364E-2</v>
      </c>
      <c r="K22" s="224">
        <f t="shared" ref="K22:S22" si="19">-K21/K$9</f>
        <v>3.6932057370415751E-2</v>
      </c>
      <c r="L22" s="224">
        <f t="shared" si="19"/>
        <v>3.4554835728332456E-2</v>
      </c>
      <c r="M22" s="224">
        <f t="shared" si="19"/>
        <v>3.4659153551726836E-2</v>
      </c>
      <c r="N22" s="224">
        <f t="shared" si="19"/>
        <v>3.3979562305614552E-2</v>
      </c>
      <c r="O22" s="224">
        <f t="shared" ca="1" si="19"/>
        <v>3.3378744897460261E-2</v>
      </c>
      <c r="P22" s="224">
        <f t="shared" ca="1" si="19"/>
        <v>3.2853095371516004E-2</v>
      </c>
      <c r="Q22" s="224">
        <f t="shared" ca="1" si="19"/>
        <v>3.239950233877318E-2</v>
      </c>
      <c r="R22" s="224">
        <f t="shared" ca="1" si="19"/>
        <v>3.2015318516574284E-2</v>
      </c>
      <c r="S22" s="224">
        <f t="shared" ca="1" si="19"/>
        <v>3.1698335164925033E-2</v>
      </c>
      <c r="T22" s="225"/>
      <c r="U22" s="39"/>
    </row>
    <row r="23" spans="1:21" ht="20.25" customHeight="1">
      <c r="A23" s="173"/>
      <c r="B23" s="168"/>
      <c r="C23" s="187" t="s">
        <v>75</v>
      </c>
      <c r="D23" s="187"/>
      <c r="E23" s="188"/>
      <c r="F23" s="188"/>
      <c r="G23" s="188"/>
      <c r="H23" s="188"/>
      <c r="I23" s="226"/>
      <c r="J23" s="226">
        <f>'DCF input'!J52</f>
        <v>16.111954440903407</v>
      </c>
      <c r="K23" s="226">
        <f>'DCF input'!K52</f>
        <v>15.168892666804709</v>
      </c>
      <c r="L23" s="226">
        <f>'DCF input'!L52</f>
        <v>11.110216900668604</v>
      </c>
      <c r="M23" s="226">
        <f>'DCF input'!M52</f>
        <v>3.9548595532390358</v>
      </c>
      <c r="N23" s="226">
        <f>'DCF input'!N52</f>
        <v>0</v>
      </c>
      <c r="O23" s="226">
        <f ca="1">'DCF input'!O52</f>
        <v>0</v>
      </c>
      <c r="P23" s="226">
        <f ca="1">'DCF input'!P52</f>
        <v>0</v>
      </c>
      <c r="Q23" s="226">
        <f ca="1">'DCF input'!Q52</f>
        <v>0</v>
      </c>
      <c r="R23" s="226">
        <f ca="1">'DCF input'!R52</f>
        <v>0</v>
      </c>
      <c r="S23" s="226">
        <f ca="1">'DCF input'!S52</f>
        <v>0</v>
      </c>
      <c r="T23" s="227"/>
      <c r="U23" s="39"/>
    </row>
    <row r="24" spans="1:21" ht="20.25" customHeight="1">
      <c r="A24" s="173"/>
      <c r="B24" s="168"/>
      <c r="C24" s="187" t="s">
        <v>130</v>
      </c>
      <c r="D24" s="187"/>
      <c r="E24" s="188"/>
      <c r="F24" s="188"/>
      <c r="G24" s="188"/>
      <c r="H24" s="188"/>
      <c r="I24" s="226"/>
      <c r="J24" s="226">
        <f>'DCF input'!J55</f>
        <v>0</v>
      </c>
      <c r="K24" s="226">
        <f>'DCF input'!K55</f>
        <v>-5</v>
      </c>
      <c r="L24" s="226">
        <f>'DCF input'!L55</f>
        <v>-5</v>
      </c>
      <c r="M24" s="226">
        <f>'DCF input'!M55</f>
        <v>-5</v>
      </c>
      <c r="N24" s="226">
        <f>'DCF input'!N55</f>
        <v>-5</v>
      </c>
      <c r="O24" s="226">
        <f>'DCF input'!O55</f>
        <v>-5</v>
      </c>
      <c r="P24" s="226">
        <f>'DCF input'!P55</f>
        <v>-5</v>
      </c>
      <c r="Q24" s="226">
        <f>'DCF input'!Q55</f>
        <v>-5</v>
      </c>
      <c r="R24" s="226">
        <f>'DCF input'!R55</f>
        <v>-5</v>
      </c>
      <c r="S24" s="226">
        <f>'DCF input'!S55</f>
        <v>-5</v>
      </c>
      <c r="T24" s="227"/>
      <c r="U24" s="39"/>
    </row>
    <row r="25" spans="1:21" ht="20.25" customHeight="1">
      <c r="A25" s="173"/>
      <c r="B25" s="168"/>
      <c r="C25" s="183" t="s">
        <v>84</v>
      </c>
      <c r="D25" s="187"/>
      <c r="E25" s="188"/>
      <c r="F25" s="188"/>
      <c r="G25" s="188"/>
      <c r="H25" s="188"/>
      <c r="I25" s="226"/>
      <c r="J25" s="224">
        <f t="shared" ref="J25:S25" si="20">-J24/J$9</f>
        <v>0</v>
      </c>
      <c r="K25" s="224">
        <f t="shared" si="20"/>
        <v>3.6932057370415751E-3</v>
      </c>
      <c r="L25" s="224">
        <f t="shared" si="20"/>
        <v>3.4554835728332453E-3</v>
      </c>
      <c r="M25" s="224">
        <f t="shared" si="20"/>
        <v>3.4659153551726838E-3</v>
      </c>
      <c r="N25" s="224">
        <f t="shared" si="20"/>
        <v>3.3979562305614551E-3</v>
      </c>
      <c r="O25" s="224">
        <f t="shared" ca="1" si="20"/>
        <v>3.3378744897460265E-3</v>
      </c>
      <c r="P25" s="224">
        <f t="shared" ca="1" si="20"/>
        <v>3.2853095371516007E-3</v>
      </c>
      <c r="Q25" s="224">
        <f t="shared" ca="1" si="20"/>
        <v>3.2399502338773178E-3</v>
      </c>
      <c r="R25" s="224">
        <f t="shared" ca="1" si="20"/>
        <v>3.2015318516574287E-3</v>
      </c>
      <c r="S25" s="224">
        <f t="shared" ca="1" si="20"/>
        <v>3.1698335164925037E-3</v>
      </c>
      <c r="T25" s="227"/>
      <c r="U25" s="39"/>
    </row>
    <row r="26" spans="1:21" ht="20.25" customHeight="1">
      <c r="A26" s="173"/>
      <c r="B26" s="168"/>
      <c r="C26" s="187" t="s">
        <v>131</v>
      </c>
      <c r="D26" s="187"/>
      <c r="E26" s="188"/>
      <c r="F26" s="188"/>
      <c r="G26" s="188"/>
      <c r="H26" s="188"/>
      <c r="I26" s="226"/>
      <c r="J26" s="226">
        <f>'DCF input'!J58</f>
        <v>-18.004468664734777</v>
      </c>
      <c r="K26" s="226">
        <f>'DCF input'!K58</f>
        <v>-6.7527180429793674</v>
      </c>
      <c r="L26" s="226">
        <f>'DCF input'!L58</f>
        <v>25.138454026318882</v>
      </c>
      <c r="M26" s="226">
        <f>'DCF input'!M58</f>
        <v>-4.8650405710493061</v>
      </c>
      <c r="N26" s="226">
        <f>'DCF input'!N58</f>
        <v>0</v>
      </c>
      <c r="O26" s="226">
        <f>'DCF input'!O58</f>
        <v>0</v>
      </c>
      <c r="P26" s="226">
        <f>'DCF input'!P58</f>
        <v>0</v>
      </c>
      <c r="Q26" s="226">
        <f>'DCF input'!Q58</f>
        <v>0</v>
      </c>
      <c r="R26" s="226">
        <f>'DCF input'!R58</f>
        <v>0</v>
      </c>
      <c r="S26" s="226">
        <f>'DCF input'!S58</f>
        <v>0</v>
      </c>
      <c r="T26" s="227"/>
      <c r="U26" s="39"/>
    </row>
    <row r="27" spans="1:21" ht="20.25" customHeight="1">
      <c r="A27" s="173"/>
      <c r="B27" s="168"/>
      <c r="C27" s="183" t="s">
        <v>84</v>
      </c>
      <c r="D27" s="187"/>
      <c r="E27" s="188"/>
      <c r="F27" s="188"/>
      <c r="G27" s="188"/>
      <c r="H27" s="188"/>
      <c r="I27" s="226"/>
      <c r="J27" s="224">
        <f t="shared" ref="J27:S27" si="21">-J26/J$9</f>
        <v>1.6367698786122525E-2</v>
      </c>
      <c r="K27" s="224">
        <f t="shared" si="21"/>
        <v>4.9878354033911108E-3</v>
      </c>
      <c r="L27" s="224">
        <f t="shared" si="21"/>
        <v>-1.737310298687373E-2</v>
      </c>
      <c r="M27" s="224">
        <f t="shared" si="21"/>
        <v>3.3723637637475745E-3</v>
      </c>
      <c r="N27" s="224">
        <f t="shared" si="21"/>
        <v>0</v>
      </c>
      <c r="O27" s="224">
        <f t="shared" ca="1" si="21"/>
        <v>0</v>
      </c>
      <c r="P27" s="224">
        <f t="shared" ca="1" si="21"/>
        <v>0</v>
      </c>
      <c r="Q27" s="224">
        <f t="shared" ca="1" si="21"/>
        <v>0</v>
      </c>
      <c r="R27" s="224">
        <f t="shared" ca="1" si="21"/>
        <v>0</v>
      </c>
      <c r="S27" s="224">
        <f t="shared" ca="1" si="21"/>
        <v>0</v>
      </c>
      <c r="T27" s="227"/>
      <c r="U27" s="39"/>
    </row>
    <row r="28" spans="1:21" ht="20.25" customHeight="1">
      <c r="A28" s="173"/>
      <c r="B28" s="168"/>
      <c r="C28" s="181" t="s">
        <v>86</v>
      </c>
      <c r="D28" s="181"/>
      <c r="E28" s="182"/>
      <c r="F28" s="182"/>
      <c r="G28" s="182"/>
      <c r="H28" s="182"/>
      <c r="I28" s="222"/>
      <c r="J28" s="222">
        <f>J17+J19-J14+J21+J23+J24+J26</f>
        <v>-39.207118777955699</v>
      </c>
      <c r="K28" s="222">
        <f t="shared" ref="K28:S28" si="22">K17+K19-K14+K21+K23+K24+K26</f>
        <v>54.230659495382142</v>
      </c>
      <c r="L28" s="222">
        <f t="shared" si="22"/>
        <v>93.307494382811498</v>
      </c>
      <c r="M28" s="222">
        <f t="shared" si="22"/>
        <v>59.287351410943515</v>
      </c>
      <c r="N28" s="222">
        <f t="shared" ca="1" si="22"/>
        <v>62.428305221334142</v>
      </c>
      <c r="O28" s="222">
        <f t="shared" ca="1" si="22"/>
        <v>64.496951293051993</v>
      </c>
      <c r="P28" s="222">
        <f t="shared" ca="1" si="22"/>
        <v>66.390578408582996</v>
      </c>
      <c r="Q28" s="222">
        <f t="shared" ca="1" si="22"/>
        <v>68.09705589449436</v>
      </c>
      <c r="R28" s="222">
        <f t="shared" ca="1" si="22"/>
        <v>69.605129834144037</v>
      </c>
      <c r="S28" s="222">
        <f t="shared" ca="1" si="22"/>
        <v>70.904532073749621</v>
      </c>
      <c r="T28" s="222">
        <f ca="1">S28*(1+'DCF input'!F9)/('DCF input'!F11-'DCF input'!F9)</f>
        <v>890.73818417647954</v>
      </c>
      <c r="U28" s="39"/>
    </row>
    <row r="29" spans="1:21" ht="20.25" customHeight="1">
      <c r="A29" s="173"/>
      <c r="B29" s="168"/>
      <c r="C29" s="168" t="s">
        <v>87</v>
      </c>
      <c r="D29" s="187"/>
      <c r="E29" s="188"/>
      <c r="F29" s="188"/>
      <c r="G29" s="188"/>
      <c r="H29" s="188"/>
      <c r="I29" s="226"/>
      <c r="J29" s="226">
        <f t="shared" ref="J29:S29" si="23">J7</f>
        <v>1</v>
      </c>
      <c r="K29" s="226">
        <f t="shared" si="23"/>
        <v>2</v>
      </c>
      <c r="L29" s="226">
        <f t="shared" si="23"/>
        <v>3</v>
      </c>
      <c r="M29" s="226">
        <f t="shared" si="23"/>
        <v>4</v>
      </c>
      <c r="N29" s="226">
        <f t="shared" si="23"/>
        <v>5</v>
      </c>
      <c r="O29" s="226">
        <f t="shared" si="23"/>
        <v>6</v>
      </c>
      <c r="P29" s="226">
        <f t="shared" si="23"/>
        <v>7</v>
      </c>
      <c r="Q29" s="226">
        <f t="shared" si="23"/>
        <v>8</v>
      </c>
      <c r="R29" s="226">
        <f t="shared" si="23"/>
        <v>9</v>
      </c>
      <c r="S29" s="226">
        <f t="shared" si="23"/>
        <v>10</v>
      </c>
      <c r="T29" s="228"/>
      <c r="U29" s="39"/>
    </row>
    <row r="30" spans="1:21" ht="20.25" customHeight="1">
      <c r="A30" s="173"/>
      <c r="B30" s="168"/>
      <c r="C30" s="168" t="s">
        <v>88</v>
      </c>
      <c r="D30" s="187"/>
      <c r="E30" s="188"/>
      <c r="F30" s="188"/>
      <c r="G30" s="188"/>
      <c r="H30" s="188"/>
      <c r="I30" s="229"/>
      <c r="J30" s="230">
        <f>'DCF input'!J67</f>
        <v>0.92165898617511521</v>
      </c>
      <c r="K30" s="230">
        <f>'DCF input'!K67</f>
        <v>0.84945528679734128</v>
      </c>
      <c r="L30" s="230">
        <f>'DCF input'!L67</f>
        <v>0.78290809843072917</v>
      </c>
      <c r="M30" s="230">
        <f>'DCF input'!M67</f>
        <v>0.72157428426795334</v>
      </c>
      <c r="N30" s="230">
        <f>'DCF input'!N67</f>
        <v>0.66504542328843619</v>
      </c>
      <c r="O30" s="230">
        <f>'DCF input'!O67</f>
        <v>0.6129450905884205</v>
      </c>
      <c r="P30" s="230">
        <f>'DCF input'!P67</f>
        <v>0.56492635077273778</v>
      </c>
      <c r="Q30" s="230">
        <f>'DCF input'!Q67</f>
        <v>0.52066944771680901</v>
      </c>
      <c r="R30" s="230">
        <f>'DCF input'!R67</f>
        <v>0.4798796753150314</v>
      </c>
      <c r="S30" s="230">
        <f>'DCF input'!S67</f>
        <v>0.44228541503689528</v>
      </c>
      <c r="T30" s="226"/>
      <c r="U30" s="39"/>
    </row>
    <row r="31" spans="1:21" ht="20.25" customHeight="1">
      <c r="A31" s="173"/>
      <c r="B31" s="168"/>
      <c r="C31" s="189" t="s">
        <v>89</v>
      </c>
      <c r="D31" s="189"/>
      <c r="E31" s="190"/>
      <c r="F31" s="190"/>
      <c r="G31" s="190"/>
      <c r="H31" s="190"/>
      <c r="I31" s="231"/>
      <c r="J31" s="231">
        <f t="shared" ref="J31" si="24">J30*J28</f>
        <v>-36.135593343737973</v>
      </c>
      <c r="K31" s="231">
        <f t="shared" ref="K31:S31" si="25">K30*K28</f>
        <v>46.066520414858793</v>
      </c>
      <c r="L31" s="231">
        <f t="shared" si="25"/>
        <v>73.051192996582898</v>
      </c>
      <c r="M31" s="231">
        <f t="shared" si="25"/>
        <v>42.780228160494197</v>
      </c>
      <c r="N31" s="231">
        <f t="shared" ca="1" si="25"/>
        <v>41.517658671101856</v>
      </c>
      <c r="O31" s="231">
        <f t="shared" ca="1" si="25"/>
        <v>39.533089652996701</v>
      </c>
      <c r="P31" s="231">
        <f t="shared" ca="1" si="25"/>
        <v>37.50578718605211</v>
      </c>
      <c r="Q31" s="231">
        <f t="shared" ca="1" si="25"/>
        <v>35.456056483727053</v>
      </c>
      <c r="R31" s="231">
        <f t="shared" ca="1" si="25"/>
        <v>33.402087105069647</v>
      </c>
      <c r="S31" s="231">
        <f t="shared" ca="1" si="25"/>
        <v>31.360040396235206</v>
      </c>
      <c r="T31" s="231">
        <f ca="1">T28*S30</f>
        <v>393.96050747770471</v>
      </c>
      <c r="U31" s="39"/>
    </row>
    <row r="32" spans="1:21" ht="20.25" customHeight="1">
      <c r="A32" s="173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39"/>
      <c r="O32" s="168"/>
      <c r="P32" s="168"/>
      <c r="Q32" s="168"/>
      <c r="R32" s="168"/>
      <c r="S32" s="39"/>
      <c r="T32" s="39"/>
      <c r="U32" s="39"/>
    </row>
    <row r="33" spans="1:22" ht="20.25" customHeight="1">
      <c r="A33" s="173"/>
      <c r="B33" s="168"/>
      <c r="C33" s="205" t="s">
        <v>90</v>
      </c>
      <c r="D33" s="206"/>
      <c r="E33" s="206"/>
      <c r="F33" s="206"/>
      <c r="G33" s="206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4"/>
      <c r="U33" s="39"/>
    </row>
    <row r="34" spans="1:22" ht="20.25" customHeight="1">
      <c r="A34" s="173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39"/>
      <c r="P34" s="39"/>
      <c r="Q34" s="39"/>
      <c r="R34" s="39"/>
      <c r="S34" s="39"/>
      <c r="T34" s="39"/>
      <c r="U34" s="39"/>
    </row>
    <row r="35" spans="1:22" ht="20.25" customHeight="1">
      <c r="A35" s="173"/>
      <c r="B35" s="168"/>
      <c r="C35" s="346" t="str">
        <f>"Value Based on "&amp;TEXT(K40,"#0.0%")&amp;" WACC &amp; "&amp;TEXT(N37,"#0.0%")&amp;" TGR"</f>
        <v>Value Based on 8.5% WACC &amp; 0.5% TGR</v>
      </c>
      <c r="D35" s="346"/>
      <c r="E35" s="346"/>
      <c r="F35" s="191" t="s">
        <v>91</v>
      </c>
      <c r="G35" s="191" t="s">
        <v>92</v>
      </c>
      <c r="H35" s="168"/>
      <c r="I35" s="39"/>
      <c r="J35" s="200" t="s">
        <v>146</v>
      </c>
      <c r="K35" s="201"/>
      <c r="L35" s="202"/>
      <c r="M35" s="203"/>
      <c r="N35" s="203"/>
      <c r="O35" s="203"/>
      <c r="P35" s="203"/>
      <c r="Q35" s="192"/>
      <c r="R35" s="192"/>
      <c r="S35" s="192"/>
      <c r="T35" s="39"/>
      <c r="U35" s="39"/>
    </row>
    <row r="36" spans="1:22" ht="20.25" customHeight="1">
      <c r="A36" s="173"/>
      <c r="B36" s="168"/>
      <c r="C36" s="347"/>
      <c r="D36" s="347"/>
      <c r="E36" s="347"/>
      <c r="F36" s="302" t="s">
        <v>143</v>
      </c>
      <c r="G36" s="180" t="s">
        <v>93</v>
      </c>
      <c r="H36" s="168"/>
      <c r="I36" s="39"/>
      <c r="J36" s="176"/>
      <c r="K36" s="191"/>
      <c r="L36" s="350" t="s">
        <v>94</v>
      </c>
      <c r="M36" s="350"/>
      <c r="N36" s="350"/>
      <c r="O36" s="350"/>
      <c r="P36" s="350"/>
      <c r="Q36" s="193"/>
      <c r="R36" s="193"/>
      <c r="S36" s="193"/>
      <c r="T36" s="39"/>
      <c r="U36" s="39"/>
    </row>
    <row r="37" spans="1:22" ht="20.25" customHeight="1">
      <c r="A37" s="173"/>
      <c r="B37" s="168"/>
      <c r="C37" s="240" t="s">
        <v>95</v>
      </c>
      <c r="D37" s="194"/>
      <c r="E37" s="194"/>
      <c r="F37" s="232">
        <f ca="1">SUM(J31:S31)</f>
        <v>344.53706772338052</v>
      </c>
      <c r="G37" s="233">
        <f ca="1">F37/F$39</f>
        <v>0.4665378456111608</v>
      </c>
      <c r="H37" s="168"/>
      <c r="I37" s="39"/>
      <c r="J37" s="348" t="s">
        <v>60</v>
      </c>
      <c r="K37" s="243"/>
      <c r="L37" s="244">
        <f>'DCF input'!F103</f>
        <v>0</v>
      </c>
      <c r="M37" s="244">
        <f>'DCF input'!G103</f>
        <v>2.5000000000000001E-3</v>
      </c>
      <c r="N37" s="244">
        <f>'DCF input'!H103</f>
        <v>5.0000000000000001E-3</v>
      </c>
      <c r="O37" s="244">
        <f>'DCF input'!I103</f>
        <v>7.4999999999999997E-3</v>
      </c>
      <c r="P37" s="244">
        <f>'DCF input'!J103</f>
        <v>0.01</v>
      </c>
      <c r="Q37" s="195"/>
      <c r="R37" s="195"/>
      <c r="S37" s="195"/>
      <c r="T37" s="39"/>
      <c r="U37" s="39"/>
    </row>
    <row r="38" spans="1:22" ht="20.25" customHeight="1">
      <c r="A38" s="173"/>
      <c r="B38" s="168"/>
      <c r="C38" s="240" t="s">
        <v>51</v>
      </c>
      <c r="D38" s="194"/>
      <c r="E38" s="194"/>
      <c r="F38" s="232">
        <f ca="1">T31</f>
        <v>393.96050747770471</v>
      </c>
      <c r="G38" s="233">
        <f ca="1">F38/F$39</f>
        <v>0.53346215438883915</v>
      </c>
      <c r="H38" s="168"/>
      <c r="I38" s="39"/>
      <c r="J38" s="348"/>
      <c r="K38" s="245">
        <f>'DCF input'!E95</f>
        <v>7.4999999999999997E-2</v>
      </c>
      <c r="L38" s="246" t="str">
        <f>CONCATENATE(ROUND('DCF input'!F95,)," / ",ROUND('DCF input'!F104,0),"c")</f>
        <v>823 / 371c</v>
      </c>
      <c r="M38" s="247" t="str">
        <f>CONCATENATE(ROUND('DCF input'!G95,)," / ",ROUND('DCF input'!G104,0),"c")</f>
        <v>840 / 380c</v>
      </c>
      <c r="N38" s="247" t="str">
        <f>CONCATENATE(ROUND('DCF input'!H95,)," / ",ROUND('DCF input'!H104,0),"c")</f>
        <v>858 / 389c</v>
      </c>
      <c r="O38" s="247" t="str">
        <f>CONCATENATE(ROUND('DCF input'!I95,)," / ",ROUND('DCF input'!I104,0),"c")</f>
        <v>878 / 399c</v>
      </c>
      <c r="P38" s="247" t="str">
        <f>CONCATENATE(ROUND('DCF input'!J95,)," / ",ROUND('DCF input'!J104,0),"c")</f>
        <v>899 / 409c</v>
      </c>
      <c r="Q38" s="196"/>
      <c r="R38" s="196"/>
      <c r="S38" s="196"/>
      <c r="T38" s="39"/>
      <c r="U38" s="39"/>
    </row>
    <row r="39" spans="1:22" ht="20.25" customHeight="1">
      <c r="A39" s="173"/>
      <c r="B39" s="168"/>
      <c r="C39" s="241" t="s">
        <v>96</v>
      </c>
      <c r="D39" s="197"/>
      <c r="E39" s="197"/>
      <c r="F39" s="234">
        <f ca="1">(F38+F37)</f>
        <v>738.49757520108528</v>
      </c>
      <c r="G39" s="235">
        <f ca="1">F39/F$39</f>
        <v>1</v>
      </c>
      <c r="H39" s="168"/>
      <c r="I39" s="39"/>
      <c r="J39" s="348"/>
      <c r="K39" s="245">
        <f>'DCF input'!E96</f>
        <v>0.08</v>
      </c>
      <c r="L39" s="247" t="str">
        <f>CONCATENATE(ROUND('DCF input'!F96,)," / ",ROUND('DCF input'!F105,0),"c")</f>
        <v>765 / 342c</v>
      </c>
      <c r="M39" s="248" t="str">
        <f>CONCATENATE(ROUND('DCF input'!G96,)," / ",ROUND('DCF input'!G105,0),"c")</f>
        <v>779 / 349c</v>
      </c>
      <c r="N39" s="248" t="str">
        <f>CONCATENATE(ROUND('DCF input'!H96,)," / ",ROUND('DCF input'!H105,0),"c")</f>
        <v>794 / 357c</v>
      </c>
      <c r="O39" s="248" t="str">
        <f>CONCATENATE(ROUND('DCF input'!I96,)," / ",ROUND('DCF input'!I105,0),"c")</f>
        <v>811 / 365c</v>
      </c>
      <c r="P39" s="247" t="str">
        <f>CONCATENATE(ROUND('DCF input'!J96,)," / ",ROUND('DCF input'!J105,0),"c")</f>
        <v>828 / 374c</v>
      </c>
      <c r="Q39" s="196"/>
      <c r="R39" s="196"/>
      <c r="S39" s="196"/>
      <c r="T39" s="39"/>
      <c r="U39" s="39"/>
    </row>
    <row r="40" spans="1:22" ht="20.25" customHeight="1">
      <c r="A40" s="173"/>
      <c r="B40" s="168"/>
      <c r="C40" s="240" t="s">
        <v>67</v>
      </c>
      <c r="D40" s="194"/>
      <c r="E40" s="194"/>
      <c r="F40" s="236">
        <f>+'DCF input'!H78</f>
        <v>-84.616813539584982</v>
      </c>
      <c r="G40" s="237"/>
      <c r="H40" s="163"/>
      <c r="I40" s="39"/>
      <c r="J40" s="348"/>
      <c r="K40" s="245">
        <f>'DCF input'!E97</f>
        <v>8.5000000000000006E-2</v>
      </c>
      <c r="L40" s="247" t="str">
        <f>CONCATENATE(ROUND('DCF input'!F97,)," / ",ROUND('DCF input'!F106,0),"c")</f>
        <v>714 / 316c</v>
      </c>
      <c r="M40" s="248" t="str">
        <f>CONCATENATE(ROUND('DCF input'!G97,)," / ",ROUND('DCF input'!G106,0),"c")</f>
        <v>726 / 322c</v>
      </c>
      <c r="N40" s="249" t="str">
        <f>CONCATENATE(ROUND('DCF input'!H97,)," / ",ROUND('DCF input'!H106,0),"c")</f>
        <v>739 / 329c</v>
      </c>
      <c r="O40" s="248" t="str">
        <f>CONCATENATE(ROUND('DCF input'!I97,)," / ",ROUND('DCF input'!I106,0),"c")</f>
        <v>752 / 335c</v>
      </c>
      <c r="P40" s="247" t="str">
        <f>CONCATENATE(ROUND('DCF input'!J97,)," / ",ROUND('DCF input'!J106,0),"c")</f>
        <v>767 / 343c</v>
      </c>
      <c r="Q40" s="196"/>
      <c r="R40" s="198"/>
      <c r="S40" s="196"/>
      <c r="T40" s="39"/>
      <c r="U40" s="39"/>
    </row>
    <row r="41" spans="1:22" ht="20.25" customHeight="1">
      <c r="A41" s="173"/>
      <c r="B41" s="168"/>
      <c r="C41" s="241" t="s">
        <v>97</v>
      </c>
      <c r="D41" s="197"/>
      <c r="E41" s="197"/>
      <c r="F41" s="234">
        <f ca="1">+F39+F40</f>
        <v>653.88076166150029</v>
      </c>
      <c r="G41" s="235"/>
      <c r="H41" s="168"/>
      <c r="I41" s="39"/>
      <c r="J41" s="348"/>
      <c r="K41" s="245">
        <f>'DCF input'!E98</f>
        <v>9.0000000000000011E-2</v>
      </c>
      <c r="L41" s="247" t="str">
        <f>CONCATENATE(ROUND('DCF input'!F98,)," / ",ROUND('DCF input'!F107,0),"c")</f>
        <v>668 / 293c</v>
      </c>
      <c r="M41" s="248" t="str">
        <f>CONCATENATE(ROUND('DCF input'!G98,)," / ",ROUND('DCF input'!G107,0),"c")</f>
        <v>678 / 298c</v>
      </c>
      <c r="N41" s="248" t="str">
        <f>CONCATENATE(ROUND('DCF input'!H98,)," / ",ROUND('DCF input'!H107,0),"c")</f>
        <v>689 / 304c</v>
      </c>
      <c r="O41" s="248" t="str">
        <f>CONCATENATE(ROUND('DCF input'!I98,)," / ",ROUND('DCF input'!I107,0),"c")</f>
        <v>701 / 310c</v>
      </c>
      <c r="P41" s="247" t="str">
        <f>CONCATENATE(ROUND('DCF input'!J98,)," / ",ROUND('DCF input'!J107,0),"c")</f>
        <v>713 / 316c</v>
      </c>
      <c r="Q41" s="196"/>
      <c r="R41" s="196"/>
      <c r="S41" s="196"/>
      <c r="T41" s="39"/>
      <c r="U41" s="39"/>
    </row>
    <row r="42" spans="1:22" ht="20.25" customHeight="1">
      <c r="A42" s="173"/>
      <c r="B42" s="168"/>
      <c r="C42" s="240" t="s">
        <v>151</v>
      </c>
      <c r="D42" s="194"/>
      <c r="E42" s="194"/>
      <c r="F42" s="236">
        <f ca="1">+F41/Assumptions!D17*100</f>
        <v>328.58329731733681</v>
      </c>
      <c r="G42" s="238"/>
      <c r="H42" s="168"/>
      <c r="I42" s="39"/>
      <c r="J42" s="349"/>
      <c r="K42" s="250">
        <f>'DCF input'!E99</f>
        <v>9.5000000000000015E-2</v>
      </c>
      <c r="L42" s="251" t="str">
        <f>CONCATENATE(ROUND('DCF input'!F99,)," / ",ROUND('DCF input'!F108,0),"c")</f>
        <v>627 / 273c</v>
      </c>
      <c r="M42" s="251" t="str">
        <f>CONCATENATE(ROUND('DCF input'!G99,)," / ",ROUND('DCF input'!G108,0),"c")</f>
        <v>636 / 277c</v>
      </c>
      <c r="N42" s="251" t="str">
        <f>CONCATENATE(ROUND('DCF input'!H99,)," / ",ROUND('DCF input'!H108,0),"c")</f>
        <v>646 / 282c</v>
      </c>
      <c r="O42" s="251" t="str">
        <f>CONCATENATE(ROUND('DCF input'!I99,)," / ",ROUND('DCF input'!I108,0),"c")</f>
        <v>656 / 287c</v>
      </c>
      <c r="P42" s="251" t="str">
        <f>CONCATENATE(ROUND('DCF input'!J99,)," / ",ROUND('DCF input'!J108,0),"c")</f>
        <v>666 / 292c</v>
      </c>
      <c r="Q42" s="196"/>
      <c r="R42" s="196"/>
      <c r="S42" s="196"/>
      <c r="T42" s="39"/>
      <c r="U42" s="39"/>
    </row>
    <row r="43" spans="1:22" ht="20.25" customHeight="1">
      <c r="B43" s="39"/>
      <c r="C43" s="242" t="s">
        <v>28</v>
      </c>
      <c r="D43" s="194"/>
      <c r="E43" s="194"/>
      <c r="F43" s="239">
        <f ca="1">+F42/Assumptions!D16-1</f>
        <v>0.99141392313537469</v>
      </c>
      <c r="G43" s="2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</row>
    <row r="44" spans="1:22" ht="15.95" customHeight="1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199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Rohit Chiramaneni</cp:lastModifiedBy>
  <cp:lastPrinted>2019-02-04T16:32:05Z</cp:lastPrinted>
  <dcterms:created xsi:type="dcterms:W3CDTF">2010-12-03T17:25:22Z</dcterms:created>
  <dcterms:modified xsi:type="dcterms:W3CDTF">2025-11-04T07:34:03Z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